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87" documentId="11_77D7F8CFEFB5B4E2EEC1568F97B647076E5C66F0" xr6:coauthVersionLast="47" xr6:coauthVersionMax="47" xr10:uidLastSave="{A8BC4DA5-6D53-6A49-82A4-48078036B4AC}"/>
  <bookViews>
    <workbookView xWindow="28680" yWindow="-120" windowWidth="29040" windowHeight="15720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FilterDatabase" localSheetId="2" hidden="1">Porra!$A$1:$CF$49</definedName>
    <definedName name="_xlnm._FilterDatabase" localSheetId="3" hidden="1">Gràfics!$A$1:$B$49</definedName>
    <definedName name="_xlnm._FilterDatabase" localSheetId="0" hidden="1">'Resultats Reals'!$N$1:$O$14</definedName>
    <definedName name="_xlnm._FilterDatabase" localSheetId="2" hidden="1">Porra!$A$1:$CF$49</definedName>
  </definedNames>
  <calcPr calcId="191028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33" i="2"/>
  <c r="CF5" i="2"/>
  <c r="CF23" i="2"/>
  <c r="CF31" i="2"/>
  <c r="CF17" i="2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<sst xmlns="http://schemas.openxmlformats.org/spreadsheetml/2006/main" count="3833" uniqueCount="278">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</sst>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O6" sqref="O6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8" width="7.93359375" bestFit="1" customWidth="1"/>
    <col min="9" max="9" width="10.35546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228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6</v>
      </c>
    </row>
    <row r="3" spans="1:15" x14ac:dyDescent="0.2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228</v>
      </c>
      <c r="H3" s="10" t="s">
        <v>228</v>
      </c>
      <c r="I3" s="10" t="s">
        <v>228</v>
      </c>
      <c r="N3" t="s">
        <v>128</v>
      </c>
      <c r="O3" s="3">
        <v>6</v>
      </c>
    </row>
    <row r="4" spans="1:15" x14ac:dyDescent="0.2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228</v>
      </c>
      <c r="H4" s="10" t="s">
        <v>228</v>
      </c>
      <c r="N4" t="s">
        <v>161</v>
      </c>
      <c r="O4" s="3">
        <v>5</v>
      </c>
    </row>
    <row r="5" spans="1:15" x14ac:dyDescent="0.2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228</v>
      </c>
      <c r="H5" s="10" t="s">
        <v>228</v>
      </c>
      <c r="N5" t="s">
        <v>166</v>
      </c>
      <c r="O5" s="3">
        <v>4</v>
      </c>
    </row>
    <row r="6" spans="1:15" x14ac:dyDescent="0.2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228</v>
      </c>
      <c r="N6" t="s">
        <v>154</v>
      </c>
      <c r="O6" s="3">
        <v>5</v>
      </c>
    </row>
    <row r="7" spans="1:15" x14ac:dyDescent="0.2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228</v>
      </c>
      <c r="N7" t="s">
        <v>122</v>
      </c>
      <c r="O7" s="3">
        <v>2</v>
      </c>
    </row>
    <row r="8" spans="1:15" x14ac:dyDescent="0.2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228</v>
      </c>
      <c r="N8" t="s">
        <v>121</v>
      </c>
      <c r="O8" s="3">
        <v>1</v>
      </c>
    </row>
    <row r="9" spans="1:15" x14ac:dyDescent="0.2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228</v>
      </c>
      <c r="N9" t="s">
        <v>194</v>
      </c>
      <c r="O9" s="3">
        <v>0</v>
      </c>
    </row>
    <row r="10" spans="1:15" x14ac:dyDescent="0.2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228</v>
      </c>
      <c r="N12" t="s">
        <v>133</v>
      </c>
      <c r="O12" s="3">
        <v>0</v>
      </c>
    </row>
    <row r="13" spans="1:15" x14ac:dyDescent="0.2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228</v>
      </c>
      <c r="N13" t="s">
        <v>132</v>
      </c>
      <c r="O13" s="3">
        <v>0</v>
      </c>
    </row>
    <row r="14" spans="1:15" x14ac:dyDescent="0.2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228</v>
      </c>
      <c r="N14" t="s">
        <v>200</v>
      </c>
      <c r="O14" s="3">
        <v>0</v>
      </c>
    </row>
    <row r="15" spans="1:15" x14ac:dyDescent="0.2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228</v>
      </c>
    </row>
    <row r="16" spans="1:15" x14ac:dyDescent="0.2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228</v>
      </c>
    </row>
    <row r="17" spans="1:6" x14ac:dyDescent="0.2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228</v>
      </c>
    </row>
    <row r="18" spans="1:6" x14ac:dyDescent="0.2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">
      <c r="A34" s="2" t="s">
        <v>240</v>
      </c>
      <c r="B34" s="2" t="s">
        <v>230</v>
      </c>
      <c r="C34" s="16" t="s">
        <v>127</v>
      </c>
    </row>
    <row r="35" spans="1:5" x14ac:dyDescent="0.2">
      <c r="A35" s="2" t="s">
        <v>241</v>
      </c>
      <c r="B35" s="2" t="s">
        <v>227</v>
      </c>
      <c r="C35" s="3" t="s">
        <v>97</v>
      </c>
    </row>
    <row r="36" spans="1:5" x14ac:dyDescent="0.2">
      <c r="A36" s="2" t="s">
        <v>241</v>
      </c>
      <c r="B36" s="2" t="s">
        <v>229</v>
      </c>
      <c r="C36" s="3" t="s">
        <v>109</v>
      </c>
    </row>
    <row r="37" spans="1:5" x14ac:dyDescent="0.2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zoomScaleNormal="60" zoomScaleSheetLayoutView="100" workbookViewId="0">
      <selection activeCell="E11" sqref="E11"/>
    </sheetView>
  </sheetViews>
  <sheetFormatPr defaultColWidth="11.296875" defaultRowHeight="15" x14ac:dyDescent="0.2"/>
  <cols>
    <col min="1" max="1" width="8.875" bestFit="1" customWidth="1"/>
    <col min="2" max="2" width="26.09765625" bestFit="1" customWidth="1"/>
    <col min="5" max="5" width="23.13671875" customWidth="1"/>
    <col min="9" max="9" width="51.65625" customWidth="1"/>
  </cols>
  <sheetData>
    <row r="1" spans="1:5" x14ac:dyDescent="0.2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">
      <c r="A2" t="s">
        <v>270</v>
      </c>
      <c r="B2" t="s">
        <v>254</v>
      </c>
      <c r="C2" s="20">
        <v>46201</v>
      </c>
      <c r="D2" s="21">
        <v>0.875</v>
      </c>
      <c r="E2" s="22" t="s">
        <v>253</v>
      </c>
    </row>
    <row r="3" spans="1:5" x14ac:dyDescent="0.2">
      <c r="A3" t="s">
        <v>270</v>
      </c>
      <c r="B3" t="s">
        <v>255</v>
      </c>
      <c r="C3" s="20">
        <v>46202</v>
      </c>
      <c r="D3" s="21">
        <v>0.79166666666666663</v>
      </c>
      <c r="E3" s="22" t="s">
        <v>271</v>
      </c>
    </row>
    <row r="4" spans="1:5" x14ac:dyDescent="0.2">
      <c r="A4" t="s">
        <v>270</v>
      </c>
      <c r="B4" t="s">
        <v>256</v>
      </c>
      <c r="C4" s="20">
        <v>46202</v>
      </c>
      <c r="D4" s="21">
        <v>0.9375</v>
      </c>
      <c r="E4" s="22" t="s">
        <v>272</v>
      </c>
    </row>
    <row r="5" spans="1:5" x14ac:dyDescent="0.2">
      <c r="A5" t="s">
        <v>270</v>
      </c>
      <c r="B5" t="s">
        <v>257</v>
      </c>
      <c r="C5" s="20">
        <v>46203</v>
      </c>
      <c r="D5" s="21">
        <v>0.125</v>
      </c>
      <c r="E5" s="22" t="s">
        <v>273</v>
      </c>
    </row>
    <row r="6" spans="1:5" x14ac:dyDescent="0.2">
      <c r="A6" t="s">
        <v>270</v>
      </c>
      <c r="B6" t="s">
        <v>258</v>
      </c>
      <c r="C6" s="20">
        <v>46203</v>
      </c>
      <c r="D6" s="21">
        <v>0.79166666666666663</v>
      </c>
      <c r="E6" s="22" t="s">
        <v>274</v>
      </c>
    </row>
    <row r="7" spans="1:5" x14ac:dyDescent="0.2">
      <c r="A7" t="s">
        <v>270</v>
      </c>
      <c r="B7" t="s">
        <v>259</v>
      </c>
      <c r="C7" s="20">
        <v>46203</v>
      </c>
      <c r="D7" s="21">
        <v>0.95833333333333337</v>
      </c>
      <c r="E7" s="22" t="s">
        <v>275</v>
      </c>
    </row>
    <row r="8" spans="1:5" x14ac:dyDescent="0.2">
      <c r="A8" t="s">
        <v>270</v>
      </c>
      <c r="B8" t="s">
        <v>260</v>
      </c>
      <c r="C8" s="20">
        <v>46204</v>
      </c>
      <c r="D8" s="21">
        <v>0.125</v>
      </c>
      <c r="E8" s="22" t="s">
        <v>164</v>
      </c>
    </row>
    <row r="9" spans="1:5" x14ac:dyDescent="0.2">
      <c r="A9" t="s">
        <v>270</v>
      </c>
      <c r="B9" t="s">
        <v>261</v>
      </c>
      <c r="C9" s="20">
        <v>46204</v>
      </c>
      <c r="D9" s="21">
        <v>0.75</v>
      </c>
      <c r="E9" s="22" t="s">
        <v>271</v>
      </c>
    </row>
    <row r="10" spans="1:5" x14ac:dyDescent="0.2">
      <c r="A10" t="s">
        <v>270</v>
      </c>
      <c r="B10" t="s">
        <v>262</v>
      </c>
      <c r="C10" s="20">
        <v>46204</v>
      </c>
      <c r="D10" s="21">
        <v>0.91666666666666663</v>
      </c>
      <c r="E10" s="22" t="s">
        <v>276</v>
      </c>
    </row>
    <row r="11" spans="1:5" x14ac:dyDescent="0.2">
      <c r="A11" t="s">
        <v>270</v>
      </c>
      <c r="B11" t="s">
        <v>263</v>
      </c>
      <c r="C11" s="20">
        <v>46205</v>
      </c>
      <c r="D11" s="21">
        <v>8.3333333333333329E-2</v>
      </c>
      <c r="E11" s="22" t="s">
        <v>164</v>
      </c>
    </row>
    <row r="12" spans="1:5" x14ac:dyDescent="0.2">
      <c r="A12" t="s">
        <v>270</v>
      </c>
      <c r="B12" t="s">
        <v>264</v>
      </c>
      <c r="C12" s="20">
        <v>46205</v>
      </c>
      <c r="D12" s="21">
        <v>0.875</v>
      </c>
      <c r="E12" t="s">
        <v>228</v>
      </c>
    </row>
    <row r="13" spans="1:5" x14ac:dyDescent="0.2">
      <c r="A13" t="s">
        <v>270</v>
      </c>
      <c r="B13" t="s">
        <v>265</v>
      </c>
      <c r="C13" s="20">
        <v>46206</v>
      </c>
      <c r="D13" s="21">
        <v>4.1666666666666664E-2</v>
      </c>
      <c r="E13" t="s">
        <v>228</v>
      </c>
    </row>
    <row r="14" spans="1:5" x14ac:dyDescent="0.2">
      <c r="A14" t="s">
        <v>270</v>
      </c>
      <c r="B14" t="s">
        <v>266</v>
      </c>
      <c r="C14" s="20">
        <v>46206</v>
      </c>
      <c r="D14" s="21">
        <v>0.20833333333333334</v>
      </c>
      <c r="E14" t="s">
        <v>228</v>
      </c>
    </row>
    <row r="15" spans="1:5" x14ac:dyDescent="0.2">
      <c r="A15" t="s">
        <v>270</v>
      </c>
      <c r="B15" t="s">
        <v>267</v>
      </c>
      <c r="C15" s="20">
        <v>46206</v>
      </c>
      <c r="D15" s="21">
        <v>0.83333333333333337</v>
      </c>
      <c r="E15" t="s">
        <v>228</v>
      </c>
    </row>
    <row r="16" spans="1:5" x14ac:dyDescent="0.2">
      <c r="A16" t="s">
        <v>270</v>
      </c>
      <c r="B16" t="s">
        <v>268</v>
      </c>
      <c r="C16" s="20">
        <v>46207</v>
      </c>
      <c r="D16" s="21">
        <v>0</v>
      </c>
      <c r="E16" t="s">
        <v>228</v>
      </c>
    </row>
    <row r="17" spans="1:5" x14ac:dyDescent="0.2">
      <c r="A17" t="s">
        <v>270</v>
      </c>
      <c r="B17" t="s">
        <v>269</v>
      </c>
      <c r="C17" s="20">
        <v>46207</v>
      </c>
      <c r="D17" s="21">
        <v>0.14583333333333334</v>
      </c>
      <c r="E17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AB5" zoomScale="115" zoomScaleNormal="115" workbookViewId="0">
      <selection activeCell="AB28" sqref="AB28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ht="14.45" x14ac:dyDescent="0.2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6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6</v>
      </c>
      <c r="CE2">
        <f>IF(BR2='Resultats Reals'!$L$2,5,0)</f>
        <v>0</v>
      </c>
      <c r="CF2" s="7">
        <f t="shared" ref="CF2:CF49" si="0">SUM(BU2:CE2)</f>
        <v>64.5</v>
      </c>
    </row>
    <row r="3" spans="1:84" ht="14.45" x14ac:dyDescent="0.2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6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62</v>
      </c>
    </row>
    <row r="4" spans="1:84" ht="14.45" x14ac:dyDescent="0.2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8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6</v>
      </c>
      <c r="CE4">
        <f>IF(BR4='Resultats Reals'!$L$2,5,0)</f>
        <v>0</v>
      </c>
      <c r="CF4" s="7">
        <f t="shared" si="0"/>
        <v>63.5</v>
      </c>
    </row>
    <row r="5" spans="1:84" ht="14.45" x14ac:dyDescent="0.2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7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6</v>
      </c>
      <c r="CE5">
        <f>IF(BR5='Resultats Reals'!$L$2,5,0)</f>
        <v>0</v>
      </c>
      <c r="CF5" s="7">
        <f t="shared" si="0"/>
        <v>62.5</v>
      </c>
    </row>
    <row r="6" spans="1:84" x14ac:dyDescent="0.2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5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6</v>
      </c>
      <c r="CE6">
        <f>IF(BR6='Resultats Reals'!$L$2,5,0)</f>
        <v>0</v>
      </c>
      <c r="CF6" s="7">
        <f t="shared" si="0"/>
        <v>64.5</v>
      </c>
    </row>
    <row r="7" spans="1:84" ht="15.75" customHeight="1" x14ac:dyDescent="0.2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7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6</v>
      </c>
      <c r="CE7">
        <f>IF(BR7='Resultats Reals'!$L$2,5,0)</f>
        <v>0</v>
      </c>
      <c r="CF7" s="7">
        <f t="shared" si="0"/>
        <v>63.5</v>
      </c>
    </row>
    <row r="8" spans="1:84" ht="14.45" x14ac:dyDescent="0.2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7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6</v>
      </c>
      <c r="CE8">
        <f>IF(BR8='Resultats Reals'!$L$2,5,0)</f>
        <v>0</v>
      </c>
      <c r="CF8" s="7">
        <f t="shared" si="0"/>
        <v>64</v>
      </c>
    </row>
    <row r="9" spans="1:84" ht="14.45" x14ac:dyDescent="0.2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7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6</v>
      </c>
      <c r="CE9">
        <f>IF(BR9='Resultats Reals'!$L$2,5,0)</f>
        <v>0</v>
      </c>
      <c r="CF9" s="7">
        <f t="shared" si="0"/>
        <v>58.5</v>
      </c>
    </row>
    <row r="10" spans="1:84" ht="14.45" x14ac:dyDescent="0.2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7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6</v>
      </c>
      <c r="CE10">
        <f>IF(BR10='Resultats Reals'!$L$2,5,0)</f>
        <v>0</v>
      </c>
      <c r="CF10" s="7">
        <f t="shared" si="0"/>
        <v>62</v>
      </c>
    </row>
    <row r="11" spans="1:84" ht="14.45" x14ac:dyDescent="0.2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8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66.5</v>
      </c>
    </row>
    <row r="12" spans="1:84" ht="14.45" x14ac:dyDescent="0.2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7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6</v>
      </c>
      <c r="CE12">
        <f>IF(BR12='Resultats Reals'!$L$2,5,0)</f>
        <v>0</v>
      </c>
      <c r="CF12" s="7">
        <f t="shared" si="0"/>
        <v>63.5</v>
      </c>
    </row>
    <row r="13" spans="1:84" x14ac:dyDescent="0.2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7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55.5</v>
      </c>
    </row>
    <row r="14" spans="1:84" x14ac:dyDescent="0.2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6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6</v>
      </c>
      <c r="CE14">
        <f>IF(BR14='Resultats Reals'!$L$2,5,0)</f>
        <v>0</v>
      </c>
      <c r="CF14" s="7">
        <f t="shared" si="0"/>
        <v>63.5</v>
      </c>
    </row>
    <row r="15" spans="1:84" ht="14.45" x14ac:dyDescent="0.2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8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6</v>
      </c>
      <c r="CE15">
        <f>IF(BR15='Resultats Reals'!$L$2,5,0)</f>
        <v>0</v>
      </c>
      <c r="CF15" s="7">
        <f t="shared" si="0"/>
        <v>63</v>
      </c>
    </row>
    <row r="16" spans="1:84" ht="14.45" x14ac:dyDescent="0.2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5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6</v>
      </c>
      <c r="CE16">
        <f>IF(BR16='Resultats Reals'!$L$2,5,0)</f>
        <v>0</v>
      </c>
      <c r="CF16" s="7">
        <f t="shared" si="0"/>
        <v>60</v>
      </c>
    </row>
    <row r="17" spans="1:84" ht="14.45" x14ac:dyDescent="0.2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8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6</v>
      </c>
      <c r="CE17">
        <f>IF(BR17='Resultats Reals'!$L$2,5,0)</f>
        <v>0</v>
      </c>
      <c r="CF17" s="7">
        <f t="shared" si="0"/>
        <v>52.5</v>
      </c>
    </row>
    <row r="18" spans="1:84" x14ac:dyDescent="0.2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6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5</v>
      </c>
      <c r="CE18">
        <f>IF(BR18='Resultats Reals'!$L$2,5,0)</f>
        <v>0</v>
      </c>
      <c r="CF18" s="7">
        <f t="shared" si="0"/>
        <v>61</v>
      </c>
    </row>
    <row r="19" spans="1:84" ht="14.45" x14ac:dyDescent="0.2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6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6</v>
      </c>
      <c r="CE19">
        <f>IF(BR19='Resultats Reals'!$L$2,5,0)</f>
        <v>0</v>
      </c>
      <c r="CF19" s="7">
        <f t="shared" si="0"/>
        <v>62</v>
      </c>
    </row>
    <row r="20" spans="1:84" ht="14.45" x14ac:dyDescent="0.2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7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5</v>
      </c>
      <c r="CE20">
        <f>IF(BR20='Resultats Reals'!$L$2,5,0)</f>
        <v>0</v>
      </c>
      <c r="CF20" s="7">
        <f t="shared" si="0"/>
        <v>65.5</v>
      </c>
    </row>
    <row r="21" spans="1:84" ht="14.45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7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58</v>
      </c>
    </row>
    <row r="22" spans="1:84" ht="14.45" x14ac:dyDescent="0.2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7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62</v>
      </c>
    </row>
    <row r="23" spans="1:84" x14ac:dyDescent="0.2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5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58.5</v>
      </c>
    </row>
    <row r="24" spans="1:84" ht="14.45" x14ac:dyDescent="0.2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7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5</v>
      </c>
      <c r="CE24">
        <f>IF(BR24='Resultats Reals'!$L$2,5,0)</f>
        <v>0</v>
      </c>
      <c r="CF24" s="7">
        <f t="shared" si="0"/>
        <v>63</v>
      </c>
    </row>
    <row r="25" spans="1:84" ht="14.45" x14ac:dyDescent="0.2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7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6</v>
      </c>
      <c r="CE25">
        <f>IF(BR25='Resultats Reals'!$L$2,5,0)</f>
        <v>0</v>
      </c>
      <c r="CF25" s="7">
        <f t="shared" si="0"/>
        <v>61</v>
      </c>
    </row>
    <row r="26" spans="1:84" ht="14.45" x14ac:dyDescent="0.2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9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6</v>
      </c>
      <c r="CE26">
        <f>IF(BR26='Resultats Reals'!$L$2,5,0)</f>
        <v>0</v>
      </c>
      <c r="CF26" s="7">
        <f t="shared" si="0"/>
        <v>63</v>
      </c>
    </row>
    <row r="27" spans="1:84" ht="14.45" x14ac:dyDescent="0.2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7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55</v>
      </c>
    </row>
    <row r="28" spans="1:84" ht="14.45" x14ac:dyDescent="0.2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7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63</v>
      </c>
    </row>
    <row r="29" spans="1:84" x14ac:dyDescent="0.2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6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58</v>
      </c>
    </row>
    <row r="30" spans="1:84" ht="14.45" x14ac:dyDescent="0.2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8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62</v>
      </c>
    </row>
    <row r="31" spans="1:84" x14ac:dyDescent="0.2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6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58.5</v>
      </c>
    </row>
    <row r="32" spans="1:84" ht="14.45" x14ac:dyDescent="0.2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6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6</v>
      </c>
      <c r="CE32">
        <f>IF(BR32='Resultats Reals'!$L$2,5,0)</f>
        <v>0</v>
      </c>
      <c r="CF32" s="7">
        <f t="shared" si="0"/>
        <v>57.5</v>
      </c>
    </row>
    <row r="33" spans="1:84" ht="14.45" x14ac:dyDescent="0.2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8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5</v>
      </c>
      <c r="CE33">
        <f>IF(BR33='Resultats Reals'!$L$2,5,0)</f>
        <v>0</v>
      </c>
      <c r="CF33" s="7">
        <f t="shared" si="0"/>
        <v>63</v>
      </c>
    </row>
    <row r="34" spans="1:84" ht="14.45" x14ac:dyDescent="0.2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6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6</v>
      </c>
      <c r="CE34">
        <f>IF(BR34='Resultats Reals'!$L$2,5,0)</f>
        <v>0</v>
      </c>
      <c r="CF34" s="7">
        <f t="shared" si="0"/>
        <v>58</v>
      </c>
    </row>
    <row r="35" spans="1:84" ht="14.45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7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6</v>
      </c>
      <c r="CE35">
        <f>IF(BR35='Resultats Reals'!$L$2,5,0)</f>
        <v>0</v>
      </c>
      <c r="CF35" s="7">
        <f t="shared" si="0"/>
        <v>59.5</v>
      </c>
    </row>
    <row r="36" spans="1:84" x14ac:dyDescent="0.2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5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6</v>
      </c>
      <c r="CE36">
        <f>IF(BR36='Resultats Reals'!$L$2,5,0)</f>
        <v>0</v>
      </c>
      <c r="CF36" s="7">
        <f t="shared" si="0"/>
        <v>57</v>
      </c>
    </row>
    <row r="37" spans="1:84" ht="14.45" x14ac:dyDescent="0.2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6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6</v>
      </c>
      <c r="CE37">
        <f>IF(BR37='Resultats Reals'!$L$2,5,0)</f>
        <v>0</v>
      </c>
      <c r="CF37" s="7">
        <f t="shared" si="0"/>
        <v>59.5</v>
      </c>
    </row>
    <row r="38" spans="1:84" x14ac:dyDescent="0.2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9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58</v>
      </c>
    </row>
    <row r="39" spans="1:84" x14ac:dyDescent="0.2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6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5</v>
      </c>
      <c r="CE39">
        <f>IF(BR39='Resultats Reals'!$L$2,5,0)</f>
        <v>0</v>
      </c>
      <c r="CF39" s="7">
        <f t="shared" si="0"/>
        <v>57</v>
      </c>
    </row>
    <row r="40" spans="1:84" ht="14.45" x14ac:dyDescent="0.2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6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53</v>
      </c>
    </row>
    <row r="41" spans="1:84" ht="14.45" x14ac:dyDescent="0.2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5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5</v>
      </c>
      <c r="CE41">
        <f>IF(BR41='Resultats Reals'!$L$2,5,0)</f>
        <v>0</v>
      </c>
      <c r="CF41" s="7">
        <f t="shared" si="0"/>
        <v>51</v>
      </c>
    </row>
    <row r="42" spans="1:84" ht="14.45" x14ac:dyDescent="0.2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5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6</v>
      </c>
      <c r="CE42">
        <f>IF(BR42='Resultats Reals'!$L$2,5,0)</f>
        <v>0</v>
      </c>
      <c r="CF42" s="7">
        <f t="shared" si="0"/>
        <v>56</v>
      </c>
    </row>
    <row r="43" spans="1:84" ht="14.45" x14ac:dyDescent="0.2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7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54</v>
      </c>
    </row>
    <row r="44" spans="1:84" x14ac:dyDescent="0.2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6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52</v>
      </c>
    </row>
    <row r="45" spans="1:84" ht="14.45" x14ac:dyDescent="0.2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7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54.5</v>
      </c>
    </row>
    <row r="46" spans="1:84" ht="14.45" x14ac:dyDescent="0.2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7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55.5</v>
      </c>
    </row>
    <row r="47" spans="1:84" x14ac:dyDescent="0.2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6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50</v>
      </c>
    </row>
    <row r="48" spans="1:84" ht="14.45" x14ac:dyDescent="0.2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7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50.5</v>
      </c>
    </row>
    <row r="49" spans="1:84" ht="14.45" x14ac:dyDescent="0.2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6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44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242</v>
      </c>
      <c r="B1" t="s">
        <v>243</v>
      </c>
    </row>
    <row r="2" spans="1:2" x14ac:dyDescent="0.2">
      <c r="A2" s="12" t="s">
        <v>209</v>
      </c>
      <c r="B2" s="23">
        <v>64.5</v>
      </c>
    </row>
    <row r="3" spans="1:2" x14ac:dyDescent="0.2">
      <c r="A3" s="12" t="s">
        <v>123</v>
      </c>
      <c r="B3" s="23">
        <v>64</v>
      </c>
    </row>
    <row r="4" spans="1:2" x14ac:dyDescent="0.2">
      <c r="A4" s="12" t="s">
        <v>208</v>
      </c>
      <c r="B4" s="23">
        <v>63.5</v>
      </c>
    </row>
    <row r="5" spans="1:2" x14ac:dyDescent="0.2">
      <c r="A5" s="12" t="s">
        <v>137</v>
      </c>
      <c r="B5" s="23">
        <v>63.5</v>
      </c>
    </row>
    <row r="6" spans="1:2" x14ac:dyDescent="0.2">
      <c r="A6" s="12" t="s">
        <v>188</v>
      </c>
      <c r="B6" s="23">
        <v>63.5</v>
      </c>
    </row>
    <row r="7" spans="1:2" x14ac:dyDescent="0.2">
      <c r="A7" s="12" t="s">
        <v>149</v>
      </c>
      <c r="B7" s="23">
        <v>63.5</v>
      </c>
    </row>
    <row r="8" spans="1:2" x14ac:dyDescent="0.2">
      <c r="A8" s="12" t="s">
        <v>183</v>
      </c>
      <c r="B8" s="23">
        <v>63</v>
      </c>
    </row>
    <row r="9" spans="1:2" x14ac:dyDescent="0.2">
      <c r="A9" s="12" t="s">
        <v>173</v>
      </c>
      <c r="B9" s="23">
        <v>62.5</v>
      </c>
    </row>
    <row r="10" spans="1:2" x14ac:dyDescent="0.2">
      <c r="A10" s="12" t="s">
        <v>204</v>
      </c>
      <c r="B10" s="23">
        <v>62.5</v>
      </c>
    </row>
    <row r="11" spans="1:2" x14ac:dyDescent="0.2">
      <c r="A11" s="12" t="s">
        <v>168</v>
      </c>
      <c r="B11" s="23">
        <v>62.5</v>
      </c>
    </row>
    <row r="12" spans="1:2" x14ac:dyDescent="0.2">
      <c r="A12" s="12" t="s">
        <v>175</v>
      </c>
      <c r="B12" s="23">
        <v>62</v>
      </c>
    </row>
    <row r="13" spans="1:2" x14ac:dyDescent="0.2">
      <c r="A13" s="12" t="s">
        <v>207</v>
      </c>
      <c r="B13" s="23">
        <v>62</v>
      </c>
    </row>
    <row r="14" spans="1:2" x14ac:dyDescent="0.2">
      <c r="A14" s="12" t="s">
        <v>134</v>
      </c>
      <c r="B14" s="23">
        <v>62</v>
      </c>
    </row>
    <row r="15" spans="1:2" x14ac:dyDescent="0.2">
      <c r="A15" s="12" t="s">
        <v>213</v>
      </c>
      <c r="B15" s="23">
        <v>61.5</v>
      </c>
    </row>
    <row r="16" spans="1:2" x14ac:dyDescent="0.2">
      <c r="A16" s="12" t="s">
        <v>180</v>
      </c>
      <c r="B16" s="23">
        <v>61</v>
      </c>
    </row>
    <row r="17" spans="1:2" x14ac:dyDescent="0.2">
      <c r="A17" s="12" t="s">
        <v>165</v>
      </c>
      <c r="B17" s="23">
        <v>61</v>
      </c>
    </row>
    <row r="18" spans="1:2" x14ac:dyDescent="0.2">
      <c r="A18" s="12" t="s">
        <v>191</v>
      </c>
      <c r="B18" s="23">
        <v>61</v>
      </c>
    </row>
    <row r="19" spans="1:2" x14ac:dyDescent="0.2">
      <c r="A19" s="12" t="s">
        <v>205</v>
      </c>
      <c r="B19" s="23">
        <v>61</v>
      </c>
    </row>
    <row r="20" spans="1:2" x14ac:dyDescent="0.2">
      <c r="A20" s="12" t="s">
        <v>158</v>
      </c>
      <c r="B20" s="23">
        <v>60</v>
      </c>
    </row>
    <row r="21" spans="1:2" x14ac:dyDescent="0.2">
      <c r="A21" s="12" t="s">
        <v>195</v>
      </c>
      <c r="B21" s="23">
        <v>60</v>
      </c>
    </row>
    <row r="22" spans="1:2" x14ac:dyDescent="0.2">
      <c r="A22" s="12" t="s">
        <v>190</v>
      </c>
      <c r="B22" s="23">
        <v>60</v>
      </c>
    </row>
    <row r="23" spans="1:2" x14ac:dyDescent="0.2">
      <c r="A23" s="12" t="s">
        <v>146</v>
      </c>
      <c r="B23" s="23">
        <v>59</v>
      </c>
    </row>
    <row r="24" spans="1:2" x14ac:dyDescent="0.2">
      <c r="A24" s="12" t="s">
        <v>184</v>
      </c>
      <c r="B24" s="23">
        <v>58.5</v>
      </c>
    </row>
    <row r="25" spans="1:2" x14ac:dyDescent="0.2">
      <c r="A25" s="12" t="s">
        <v>136</v>
      </c>
      <c r="B25" s="23">
        <v>58</v>
      </c>
    </row>
    <row r="26" spans="1:2" x14ac:dyDescent="0.2">
      <c r="A26" s="12" t="s">
        <v>177</v>
      </c>
      <c r="B26" s="23">
        <v>57.5</v>
      </c>
    </row>
    <row r="27" spans="1:2" x14ac:dyDescent="0.2">
      <c r="A27" s="12" t="s">
        <v>186</v>
      </c>
      <c r="B27" s="23">
        <v>57.5</v>
      </c>
    </row>
    <row r="28" spans="1:2" x14ac:dyDescent="0.2">
      <c r="A28" s="12" t="s">
        <v>151</v>
      </c>
      <c r="B28" s="23">
        <v>57.5</v>
      </c>
    </row>
    <row r="29" spans="1:2" x14ac:dyDescent="0.2">
      <c r="A29" s="12" t="s">
        <v>178</v>
      </c>
      <c r="B29" s="23">
        <v>57.5</v>
      </c>
    </row>
    <row r="30" spans="1:2" x14ac:dyDescent="0.2">
      <c r="A30" s="12" t="s">
        <v>167</v>
      </c>
      <c r="B30" s="23">
        <v>57.5</v>
      </c>
    </row>
    <row r="31" spans="1:2" x14ac:dyDescent="0.2">
      <c r="A31" s="12" t="s">
        <v>202</v>
      </c>
      <c r="B31" s="23">
        <v>57</v>
      </c>
    </row>
    <row r="32" spans="1:2" x14ac:dyDescent="0.2">
      <c r="A32" s="12" t="s">
        <v>169</v>
      </c>
      <c r="B32" s="23">
        <v>57</v>
      </c>
    </row>
    <row r="33" spans="1:2" x14ac:dyDescent="0.2">
      <c r="A33" s="12" t="s">
        <v>201</v>
      </c>
      <c r="B33" s="23">
        <v>56</v>
      </c>
    </row>
    <row r="34" spans="1:2" x14ac:dyDescent="0.2">
      <c r="A34" s="12" t="s">
        <v>84</v>
      </c>
      <c r="B34" s="23">
        <v>56</v>
      </c>
    </row>
    <row r="35" spans="1:2" x14ac:dyDescent="0.2">
      <c r="A35" s="12" t="s">
        <v>171</v>
      </c>
      <c r="B35" s="23">
        <v>56</v>
      </c>
    </row>
    <row r="36" spans="1:2" x14ac:dyDescent="0.2">
      <c r="A36" s="12" t="s">
        <v>152</v>
      </c>
      <c r="B36" s="23">
        <v>56</v>
      </c>
    </row>
    <row r="37" spans="1:2" x14ac:dyDescent="0.2">
      <c r="A37" s="12" t="s">
        <v>155</v>
      </c>
      <c r="B37" s="23">
        <v>55</v>
      </c>
    </row>
    <row r="38" spans="1:2" x14ac:dyDescent="0.2">
      <c r="A38" s="12" t="s">
        <v>156</v>
      </c>
      <c r="B38" s="23">
        <v>54.5</v>
      </c>
    </row>
    <row r="39" spans="1:2" x14ac:dyDescent="0.2">
      <c r="A39" s="12" t="s">
        <v>162</v>
      </c>
      <c r="B39" s="23">
        <v>54</v>
      </c>
    </row>
    <row r="40" spans="1:2" x14ac:dyDescent="0.2">
      <c r="A40" s="12" t="s">
        <v>129</v>
      </c>
      <c r="B40" s="23">
        <v>54</v>
      </c>
    </row>
    <row r="41" spans="1:2" x14ac:dyDescent="0.2">
      <c r="A41" s="12" t="s">
        <v>192</v>
      </c>
      <c r="B41" s="23">
        <v>53.5</v>
      </c>
    </row>
    <row r="42" spans="1:2" x14ac:dyDescent="0.2">
      <c r="A42" s="12" t="s">
        <v>214</v>
      </c>
      <c r="B42" s="23">
        <v>53</v>
      </c>
    </row>
    <row r="43" spans="1:2" x14ac:dyDescent="0.2">
      <c r="A43" s="12" t="s">
        <v>181</v>
      </c>
      <c r="B43" s="23">
        <v>52.5</v>
      </c>
    </row>
    <row r="44" spans="1:2" x14ac:dyDescent="0.2">
      <c r="A44" s="12" t="s">
        <v>153</v>
      </c>
      <c r="B44" s="23">
        <v>52.5</v>
      </c>
    </row>
    <row r="45" spans="1:2" x14ac:dyDescent="0.2">
      <c r="A45" s="12" t="s">
        <v>174</v>
      </c>
      <c r="B45" s="23">
        <v>51</v>
      </c>
    </row>
    <row r="46" spans="1:2" x14ac:dyDescent="0.2">
      <c r="A46" s="12" t="s">
        <v>159</v>
      </c>
      <c r="B46" s="23">
        <v>51</v>
      </c>
    </row>
    <row r="47" spans="1:2" x14ac:dyDescent="0.2">
      <c r="A47" s="12" t="s">
        <v>212</v>
      </c>
      <c r="B47" s="23">
        <v>49.5</v>
      </c>
    </row>
    <row r="48" spans="1:2" x14ac:dyDescent="0.2">
      <c r="A48" s="12" t="s">
        <v>197</v>
      </c>
      <c r="B48" s="23">
        <v>49</v>
      </c>
    </row>
    <row r="49" spans="1:2" x14ac:dyDescent="0.2">
      <c r="A49" s="12" t="s">
        <v>139</v>
      </c>
      <c r="B49" s="23">
        <v>42</v>
      </c>
    </row>
    <row r="50" spans="1:2" x14ac:dyDescent="0.2">
      <c r="A50" s="12" t="s">
        <v>244</v>
      </c>
      <c r="B50" s="23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246</v>
      </c>
      <c r="C1" s="15" t="s">
        <v>247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2026-07-01T05:08:03Z</dcterms:modified>
</cp:coreProperties>
</file>