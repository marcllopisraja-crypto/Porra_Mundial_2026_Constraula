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732" documentId="11_77D7F8CFEFB5B4E2EEC1568F97B647076E5C66F0" xr6:coauthVersionLast="47" xr6:coauthVersionMax="47" xr10:uidLastSave="{52CFD6ED-79D8-47FF-957B-51BA88E863D8}"/>
  <bookViews>
    <workbookView xWindow="2160" yWindow="2385" windowWidth="26640" windowHeight="13815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21" i="2"/>
  <c r="CF25" i="2"/>
  <c r="CF22" i="2"/>
  <c r="CF39" i="2"/>
  <c r="CF18" i="2"/>
  <c r="CF40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<sst xmlns="http://schemas.openxmlformats.org/spreadsheetml/2006/main" count="3913" uniqueCount="307">
  <si>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</si>
  <si>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</si>
  <si>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</si>
  <si>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</si>
  <si>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</si>
  <si>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</si>
  <si>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</si>
  <si>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</si>
  <si>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</si>
  <si>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</si>
  <si>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</si>
  <si>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</si>
  <si>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</si>
  <si>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</si>
  <si>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</si>
  <si>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</si>
  <si>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</si>
  <si>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</si>
  <si>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</si>
  <si>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</si>
  <si>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</si>
  <si>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</si>
  <si>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</si>
  <si>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</si>
  <si>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</si>
  <si>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</si>
  <si>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</si>
  <si>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</si>
  <si>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</si>
  <si>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</si>
  <si>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</si>
  <si>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</si>
  <si>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</si>
  <si>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</si>
  <si>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</si>
  <si>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</si>
  <si>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</si>
  <si>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</si>
  <si>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</si>
  <si>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</si>
  <si>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</si>
  <si>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</si>
  <si>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</si>
  <si>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</si>
  <si>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</si>
  <si>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</si>
  <si>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</si>
  <si>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</si>
  <si>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</si>
  <si>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</si>
  <si>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</si>
  <si>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</si>
  <si>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</si>
  <si>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</si>
  <si>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</si>
  <si>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</si>
  <si>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</si>
  <si>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</si>
  <si>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</si>
  <si>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</si>
  <si>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</si>
  <si>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</si>
  <si>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</si>
  <si>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</si>
  <si>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</si>
  <si>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</si>
  <si>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</si>
  <si>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</si>
  <si>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</si>
  <si>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</si>
  <si>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</si>
  <si>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</si>
  <si>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</si>
  <si>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</si>
  <si>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</si>
  <si>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</si>
  <si>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</si>
  <si>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</si>
  <si>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</si>
  <si>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</si>
  <si>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</si>
  <si>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</si>
  <si>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</si>
  <si>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</si>
  <si>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</si>
  <si>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</si>
  <si>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</si>
  <si>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</si>
  <si>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</si>
  <si>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</si>
  <si>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</si>
  <si>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</si>
  <si>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</si>
  <si>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</si>
  <si>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</si>
  <si>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</si>
  <si>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</si>
  <si>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</si>
  <si>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</si>
  <si>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</si>
  <si>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</si>
  <si>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</si>
  <si>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</si>
  <si>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</si>
  <si>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</si>
  <si>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</si>
  <si>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</si>
  <si>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</si>
  <si>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</si>
  <si>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</si>
  <si>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</si>
  <si>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</si>
  <si>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</si>
  <si>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</si>
  <si>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</si>
  <si>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</si>
  <si>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</si>
  <si>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</si>
  <si>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</si>
  <si>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</si>
  <si>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</si>
  <si>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</si>
  <si>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</si>
  <si>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</si>
  <si>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</si>
  <si>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</si>
  <si>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</si>
  <si>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</si>
  <si>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</si>
  <si>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</si>
  <si>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</si>
  <si>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</si>
  <si>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</si>
  <si>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</si>
  <si>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</si>
  <si>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</si>
  <si>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</si>
  <si>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</si>
  <si>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</si>
  <si>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</si>
  <si>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</si>
  <si>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</si>
  <si>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</si>
  <si>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</si>
  <si>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</si>
  <si>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</si>
  <si>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</si>
  <si>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</si>
  <si>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</si>
  <si>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</si>
  <si>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</si>
  <si>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</si>
  <si>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</si>
  <si>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</si>
  <si>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</si>
  <si>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</si>
  <si>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</si>
  <si>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</si>
  <si>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</si>
  <si>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</si>
  <si>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</si>
  <si>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</si>
  <si>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</si>
  <si>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</si>
  <si>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</si>
  <si>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</si>
  <si>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</si>
  <si>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</si>
  <si>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</si>
  <si>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</si>
  <si>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</si>
  <si>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</si>
  <si>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</si>
  <si>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</si>
  <si>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</si>
  <si>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</si>
  <si>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</si>
  <si>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</si>
  <si>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</si>
  <si>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</si>
  <si>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</si>
  <si>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</si>
  <si>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</si>
  <si>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</si>
  <si>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</si>
  <si>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</si>
  <si>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</si>
  <si>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</si>
  <si>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</si>
  <si>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</si>
  <si>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</si>
  <si>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</si>
  <si>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</si>
  <si>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</si>
  <si>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</si>
  <si>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</si>
  <si>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</si>
  <si>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</si>
  <si>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</si>
  <si>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</si>
  <si>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</si>
  <si>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</si>
  <si>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</si>
  <si>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</si>
  <si>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</si>
  <si>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</si>
  <si>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</si>
  <si>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</si>
  <si>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</si>
  <si>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</si>
  <si>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</si>
  <si>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</si>
  <si>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</si>
  <si>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</si>
  <si>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</si>
  <si>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</si>
  <si>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</si>
  <si>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</si>
  <si>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</si>
  <si>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</si>
  <si>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</si>
  <si>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</si>
  <si>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</si>
  <si>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</si>
  <si>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</si>
  <si>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</si>
  <si>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</si>
  <si>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</si>
  <si>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</si>
  <si>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</si>
  <si>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</si>
  <si>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</si>
  <si>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</si>
  <si>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</si>
  <si>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</si>
  <si>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</si>
  <si>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</si>
  <si>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</si>
  <si>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</si>
  <si>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</si>
  <si>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</si>
  <si>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</si>
  <si>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</si>
  <si>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</si>
  <si>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</si>
  <si>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</si>
  <si>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</si>
  <si>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</si>
  <si>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</si>
  <si>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</si>
  <si>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</si>
  <si>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</si>
  <si>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</si>
  <si>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</si>
  <si>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</si>
  <si>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</si>
  <si>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</si>
  <si>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</si>
  <si>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</si>
  <si>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</si>
  <si>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</si>
  <si>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</si>
  <si>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</si>
  <si>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</si>
  <si>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</si>
  <si>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</si>
  <si>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</si>
  <si>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</si>
  <si>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</si>
  <si>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</si>
  <si>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</si>
  <si>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</si>
  <si>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</si>
  <si>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</si>
  <si>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</si>
  <si>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</si>
  <si>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</si>
  <si>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</si>
  <si>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</si>
  <si>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</si>
  <si>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</si>
  <si>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</si>
  <si>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</si>
  <si>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</si>
  <si>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</si>
  <si>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</si>
  <si>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</si>
  <si>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</si>
  <si>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</si>
  <si>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</si>
  <si>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</si>
  <si>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</si>
  <si>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</si>
  <si>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</si>
  <si>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</si>
  <si>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</si>
  <si>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</si>
  <si>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</si>
  <si>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</si>
  <si>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</si>
  <si>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</si>
  <si>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</si>
  <si>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</si>
  <si>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</si>
  <si>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</si>
  <si>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</si>
  <si>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Pendent rivals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</si>
</sst>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G1" workbookViewId="0">
      <selection activeCell="J12" sqref="J12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8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228</v>
      </c>
      <c r="N3" t="s">
        <v>128</v>
      </c>
      <c r="O3" s="3">
        <v>8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abSelected="1" topLeftCell="A13" zoomScaleNormal="60" zoomScaleSheetLayoutView="100" workbookViewId="0">
      <selection activeCell="E29" sqref="E29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t="s">
        <v>288</v>
      </c>
      <c r="E2" s="21" t="s">
        <v>253</v>
      </c>
    </row>
    <row r="3" spans="1:5" x14ac:dyDescent="0.25">
      <c r="A3" t="s">
        <v>270</v>
      </c>
      <c r="B3" t="s">
        <v>255</v>
      </c>
      <c r="C3" s="20">
        <v>46202</v>
      </c>
      <c r="D3" t="s">
        <v>288</v>
      </c>
      <c r="E3" s="21" t="s">
        <v>271</v>
      </c>
    </row>
    <row r="4" spans="1:5" x14ac:dyDescent="0.25">
      <c r="A4" t="s">
        <v>270</v>
      </c>
      <c r="B4" t="s">
        <v>256</v>
      </c>
      <c r="C4" s="20">
        <v>46202</v>
      </c>
      <c r="D4" t="s">
        <v>288</v>
      </c>
      <c r="E4" s="21" t="s">
        <v>272</v>
      </c>
    </row>
    <row r="5" spans="1:5" x14ac:dyDescent="0.25">
      <c r="A5" t="s">
        <v>270</v>
      </c>
      <c r="B5" t="s">
        <v>257</v>
      </c>
      <c r="C5" s="20">
        <v>46203</v>
      </c>
      <c r="D5" t="s">
        <v>288</v>
      </c>
      <c r="E5" s="21" t="s">
        <v>273</v>
      </c>
    </row>
    <row r="6" spans="1:5" x14ac:dyDescent="0.25">
      <c r="A6" t="s">
        <v>270</v>
      </c>
      <c r="B6" t="s">
        <v>258</v>
      </c>
      <c r="C6" s="20">
        <v>46203</v>
      </c>
      <c r="D6" t="s">
        <v>288</v>
      </c>
      <c r="E6" s="21" t="s">
        <v>274</v>
      </c>
    </row>
    <row r="7" spans="1:5" x14ac:dyDescent="0.25">
      <c r="A7" t="s">
        <v>270</v>
      </c>
      <c r="B7" t="s">
        <v>259</v>
      </c>
      <c r="C7" s="20">
        <v>46203</v>
      </c>
      <c r="D7" t="s">
        <v>288</v>
      </c>
      <c r="E7" s="21" t="s">
        <v>275</v>
      </c>
    </row>
    <row r="8" spans="1:5" x14ac:dyDescent="0.25">
      <c r="A8" t="s">
        <v>270</v>
      </c>
      <c r="B8" t="s">
        <v>260</v>
      </c>
      <c r="C8" s="20">
        <v>46204</v>
      </c>
      <c r="D8" t="s">
        <v>288</v>
      </c>
      <c r="E8" s="21" t="s">
        <v>164</v>
      </c>
    </row>
    <row r="9" spans="1:5" x14ac:dyDescent="0.25">
      <c r="A9" t="s">
        <v>270</v>
      </c>
      <c r="B9" t="s">
        <v>261</v>
      </c>
      <c r="C9" s="20">
        <v>46204</v>
      </c>
      <c r="D9" t="s">
        <v>288</v>
      </c>
      <c r="E9" s="21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t="s">
        <v>288</v>
      </c>
      <c r="E10" s="21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t="s">
        <v>288</v>
      </c>
      <c r="E11" s="21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t="s">
        <v>288</v>
      </c>
      <c r="E12" s="21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t="s">
        <v>288</v>
      </c>
      <c r="E13" s="21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t="s">
        <v>288</v>
      </c>
      <c r="E14" s="21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t="s">
        <v>288</v>
      </c>
      <c r="E15" s="21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t="s">
        <v>288</v>
      </c>
      <c r="E16" s="21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t="s">
        <v>288</v>
      </c>
      <c r="E17" s="21" t="s">
        <v>278</v>
      </c>
    </row>
    <row r="18" spans="1:5" x14ac:dyDescent="0.25">
      <c r="A18" t="s">
        <v>279</v>
      </c>
      <c r="B18" t="s">
        <v>287</v>
      </c>
      <c r="C18" s="20">
        <v>46207</v>
      </c>
      <c r="D18" t="s">
        <v>288</v>
      </c>
      <c r="E18" t="s">
        <v>289</v>
      </c>
    </row>
    <row r="19" spans="1:5" x14ac:dyDescent="0.25">
      <c r="A19" t="s">
        <v>279</v>
      </c>
      <c r="B19" t="s">
        <v>290</v>
      </c>
      <c r="C19" s="20">
        <v>46207</v>
      </c>
      <c r="D19" t="s">
        <v>288</v>
      </c>
      <c r="E19" t="s">
        <v>291</v>
      </c>
    </row>
    <row r="20" spans="1:5" x14ac:dyDescent="0.25">
      <c r="A20" t="s">
        <v>279</v>
      </c>
      <c r="B20" t="s">
        <v>292</v>
      </c>
      <c r="C20" s="20">
        <v>46208</v>
      </c>
      <c r="D20" t="s">
        <v>288</v>
      </c>
      <c r="E20" s="22" t="s">
        <v>274</v>
      </c>
    </row>
    <row r="21" spans="1:5" x14ac:dyDescent="0.25">
      <c r="A21" t="s">
        <v>279</v>
      </c>
      <c r="B21" t="s">
        <v>293</v>
      </c>
      <c r="C21" s="20">
        <v>46208</v>
      </c>
      <c r="D21" t="s">
        <v>288</v>
      </c>
      <c r="E21" s="22" t="s">
        <v>294</v>
      </c>
    </row>
    <row r="22" spans="1:5" x14ac:dyDescent="0.25">
      <c r="A22" t="s">
        <v>279</v>
      </c>
      <c r="B22" t="s">
        <v>280</v>
      </c>
      <c r="C22" s="20">
        <v>46209</v>
      </c>
      <c r="D22" t="s">
        <v>288</v>
      </c>
      <c r="E22" s="22" t="s">
        <v>253</v>
      </c>
    </row>
    <row r="23" spans="1:5" x14ac:dyDescent="0.25">
      <c r="A23" t="s">
        <v>279</v>
      </c>
      <c r="B23" t="s">
        <v>295</v>
      </c>
      <c r="C23" s="20">
        <v>46210</v>
      </c>
      <c r="D23" t="s">
        <v>288</v>
      </c>
      <c r="E23" s="22" t="s">
        <v>297</v>
      </c>
    </row>
    <row r="24" spans="1:5" x14ac:dyDescent="0.25">
      <c r="A24" t="s">
        <v>279</v>
      </c>
      <c r="B24" t="s">
        <v>282</v>
      </c>
      <c r="C24" s="20">
        <v>46210</v>
      </c>
      <c r="D24" t="s">
        <v>288</v>
      </c>
      <c r="E24" s="21" t="s">
        <v>276</v>
      </c>
    </row>
    <row r="25" spans="1:5" x14ac:dyDescent="0.25">
      <c r="A25" t="s">
        <v>279</v>
      </c>
      <c r="B25" t="s">
        <v>283</v>
      </c>
      <c r="C25" s="20">
        <v>46209</v>
      </c>
      <c r="D25" t="s">
        <v>288</v>
      </c>
      <c r="E25" s="21" t="s">
        <v>298</v>
      </c>
    </row>
    <row r="26" spans="1:5" x14ac:dyDescent="0.25">
      <c r="A26" t="s">
        <v>284</v>
      </c>
      <c r="B26" t="s">
        <v>285</v>
      </c>
      <c r="C26" s="20">
        <v>46212</v>
      </c>
      <c r="D26" t="s">
        <v>288</v>
      </c>
      <c r="E26" s="21" t="s">
        <v>164</v>
      </c>
    </row>
    <row r="27" spans="1:5" x14ac:dyDescent="0.25">
      <c r="A27" t="s">
        <v>284</v>
      </c>
      <c r="B27" t="s">
        <v>296</v>
      </c>
      <c r="C27" s="20">
        <v>46213</v>
      </c>
      <c r="D27" t="s">
        <v>288</v>
      </c>
      <c r="E27" s="21" t="s">
        <v>271</v>
      </c>
    </row>
    <row r="28" spans="1:5" x14ac:dyDescent="0.25">
      <c r="A28" t="s">
        <v>284</v>
      </c>
      <c r="B28" t="s">
        <v>286</v>
      </c>
      <c r="C28" s="20">
        <v>46214</v>
      </c>
      <c r="D28" t="s">
        <v>288</v>
      </c>
      <c r="E28" s="21" t="s">
        <v>274</v>
      </c>
    </row>
    <row r="29" spans="1:5" x14ac:dyDescent="0.25">
      <c r="A29" t="s">
        <v>284</v>
      </c>
      <c r="B29" t="s">
        <v>299</v>
      </c>
      <c r="C29" s="20">
        <v>46215</v>
      </c>
      <c r="D29" t="s">
        <v>288</v>
      </c>
      <c r="E29" s="21" t="s">
        <v>215</v>
      </c>
    </row>
    <row r="30" spans="1:5" x14ac:dyDescent="0.25">
      <c r="A30" t="s">
        <v>300</v>
      </c>
      <c r="B30" t="s">
        <v>301</v>
      </c>
      <c r="C30" s="20">
        <v>46217</v>
      </c>
      <c r="D30" t="s">
        <v>281</v>
      </c>
      <c r="E30" t="s">
        <v>228</v>
      </c>
    </row>
    <row r="31" spans="1:5" x14ac:dyDescent="0.25">
      <c r="A31" t="s">
        <v>300</v>
      </c>
      <c r="B31" t="s">
        <v>302</v>
      </c>
      <c r="C31" s="20">
        <v>46218</v>
      </c>
      <c r="D31" t="s">
        <v>281</v>
      </c>
      <c r="E31" t="s">
        <v>228</v>
      </c>
    </row>
    <row r="32" spans="1:5" x14ac:dyDescent="0.25">
      <c r="A32" t="s">
        <v>303</v>
      </c>
      <c r="B32" t="s">
        <v>306</v>
      </c>
      <c r="C32" s="20">
        <v>46221</v>
      </c>
      <c r="D32" t="s">
        <v>305</v>
      </c>
      <c r="E32" t="s">
        <v>228</v>
      </c>
    </row>
    <row r="33" spans="1:5" x14ac:dyDescent="0.25">
      <c r="A33" t="s">
        <v>304</v>
      </c>
      <c r="B33" t="s">
        <v>306</v>
      </c>
      <c r="C33" s="20">
        <v>46222</v>
      </c>
      <c r="D33" t="s">
        <v>281</v>
      </c>
      <c r="E33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R4" zoomScale="115" zoomScaleNormal="115" workbookViewId="0">
      <selection activeCell="BR20" sqref="A20:XFD20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5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79.5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3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8</v>
      </c>
      <c r="CE3">
        <f>IF(BR3='Resultats Reals'!$L$2,5,0)</f>
        <v>0</v>
      </c>
      <c r="CF3" s="7">
        <f t="shared" si="0"/>
        <v>76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4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8</v>
      </c>
      <c r="CE4">
        <f>IF(BR4='Resultats Reals'!$L$2,5,0)</f>
        <v>0</v>
      </c>
      <c r="CF4" s="7">
        <f t="shared" si="0"/>
        <v>79.5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3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8</v>
      </c>
      <c r="CE5">
        <f>IF(BR5='Resultats Reals'!$L$2,5,0)</f>
        <v>0</v>
      </c>
      <c r="CF5" s="7">
        <f t="shared" si="0"/>
        <v>75.5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78.5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2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75.5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4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8</v>
      </c>
      <c r="CE8">
        <f>IF(BR8='Resultats Reals'!$L$2,5,0)</f>
        <v>0</v>
      </c>
      <c r="CF8" s="7">
        <f t="shared" si="0"/>
        <v>78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70.5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77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79.5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76.5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5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2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1</v>
      </c>
      <c r="CE13">
        <f>IF(BR13='Resultats Reals'!$L$2,5,0)</f>
        <v>0</v>
      </c>
      <c r="CF13" s="7">
        <f t="shared" si="0"/>
        <v>68.5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97</v>
      </c>
      <c r="BN14" t="s">
        <v>95</v>
      </c>
      <c r="BO14" t="s">
        <v>93</v>
      </c>
      <c r="BP14" t="s">
        <v>95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5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4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79.5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6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8</v>
      </c>
      <c r="CE15">
        <f>IF(BR15='Resultats Reals'!$L$2,5,0)</f>
        <v>0</v>
      </c>
      <c r="CF15" s="7">
        <f t="shared" si="0"/>
        <v>79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4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3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73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65.5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2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73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2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8</v>
      </c>
      <c r="CE19">
        <f>IF(BR19='Resultats Reals'!$L$2,5,0)</f>
        <v>0</v>
      </c>
      <c r="CF19" s="7">
        <f t="shared" si="0"/>
        <v>75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6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4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80.5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6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3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73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</v>
      </c>
      <c r="CE22">
        <f>IF(BR22='Resultats Reals'!$L$2,5,0)</f>
        <v>0</v>
      </c>
      <c r="CF22" s="7">
        <f t="shared" si="0"/>
        <v>74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4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73.5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6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4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78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2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8</v>
      </c>
      <c r="CE25">
        <f>IF(BR25='Resultats Reals'!$L$2,5,0)</f>
        <v>0</v>
      </c>
      <c r="CF25" s="7">
        <f t="shared" si="0"/>
        <v>76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4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3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76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3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66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2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74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3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8</v>
      </c>
      <c r="CE29">
        <f>IF(BR29='Resultats Reals'!$L$2,5,0)</f>
        <v>0</v>
      </c>
      <c r="CF29" s="7">
        <f t="shared" si="0"/>
        <v>72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3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8</v>
      </c>
      <c r="CE30">
        <f>IF(BR30='Resultats Reals'!$L$2,5,0)</f>
        <v>0</v>
      </c>
      <c r="CF30" s="7">
        <f t="shared" si="0"/>
        <v>78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5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73.5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5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71.5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2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77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3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8</v>
      </c>
      <c r="CE34">
        <f>IF(BR34='Resultats Reals'!$L$2,5,0)</f>
        <v>0</v>
      </c>
      <c r="CF34" s="7">
        <f t="shared" si="0"/>
        <v>73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73.5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4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70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73.5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1</v>
      </c>
      <c r="CE38">
        <f>IF(BR38='Resultats Reals'!$L$2,5,0)</f>
        <v>0</v>
      </c>
      <c r="CF38" s="7">
        <f t="shared" si="0"/>
        <v>72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3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70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64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5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64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69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3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63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4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64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5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2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68.5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3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1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64.5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6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64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57.5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2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</v>
      </c>
      <c r="CE49">
        <f>IF(BR49='Resultats Reals'!$L$2,5,0)</f>
        <v>0</v>
      </c>
      <c r="CF49" s="7">
        <f t="shared" si="0"/>
        <v>56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2026-07-14T06:31:21Z</dcterms:modified>
</cp:coreProperties>
</file>