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519" documentId="11_77D7F8CFEFB5B4E2EEC1568F97B647076E5C66F0" xr6:coauthVersionLast="47" xr6:coauthVersionMax="47" xr10:uidLastSave="{0753E0C8-55D3-3A49-A94E-415A8B18573D}"/>
  <bookViews>
    <workbookView xWindow="28680" yWindow="-120" windowWidth="29040" windowHeight="15720" activeTab="1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CF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CF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CF28" i="2"/>
  <c r="BU30" i="2"/>
  <c r="BW30" i="2"/>
  <c r="CF30" i="2"/>
  <c r="BV45" i="2"/>
  <c r="BV38" i="2"/>
  <c r="BW6" i="2"/>
  <c r="BU27" i="2"/>
  <c r="BV42" i="2"/>
  <c r="BV29" i="2"/>
  <c r="BU23" i="2"/>
  <c r="BW46" i="2"/>
  <c r="BU34" i="2"/>
  <c r="BV10" i="2"/>
  <c r="BV3" i="2"/>
  <c r="BW3" i="2"/>
  <c r="BU25" i="2"/>
  <c r="CF25" i="2"/>
  <c r="BV27" i="2"/>
  <c r="BW42" i="2"/>
  <c r="BW29" i="2"/>
  <c r="BV23" i="2"/>
  <c r="BV34" i="2"/>
  <c r="BU48" i="2"/>
  <c r="BU49" i="2"/>
  <c r="BV17" i="2"/>
  <c r="CF17" i="2"/>
  <c r="BV41" i="2"/>
  <c r="BW14" i="2"/>
  <c r="BV9" i="2"/>
  <c r="BW33" i="2"/>
  <c r="CF21" i="2"/>
  <c r="BW45" i="2"/>
  <c r="BU12" i="2"/>
  <c r="BV47" i="2"/>
  <c r="BW10" i="2"/>
  <c r="BU4" i="2"/>
  <c r="BW40" i="2"/>
  <c r="BU13" i="2"/>
  <c r="BV37" i="2"/>
  <c r="BW44" i="2"/>
  <c r="CF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CF32" i="2"/>
  <c r="BU9" i="2"/>
  <c r="BV46" i="2"/>
  <c r="BW5" i="2"/>
  <c r="CF5" i="2"/>
  <c r="BU11" i="2"/>
  <c r="CF33" i="2"/>
  <c r="CF18" i="2"/>
  <c r="CF15" i="2"/>
  <c r="CF9" i="2"/>
  <c r="CF8" i="2"/>
  <c r="CF43" i="2"/>
  <c r="CF16" i="2"/>
  <c r="CF35" i="2"/>
  <c r="CF41" i="2"/>
  <c r="CF36" i="2"/>
  <c r="CF20" i="2"/>
  <c r="CF14" i="2"/>
  <c r="CF31" i="2"/>
  <c r="CF40" i="2"/>
  <c r="CF49" i="2"/>
  <c r="CF19" i="2"/>
  <c r="CF48" i="2"/>
  <c r="CF10" i="2"/>
  <c r="CF2" i="2"/>
  <c r="CF11" i="2"/>
  <c r="CF46" i="2"/>
  <c r="CF45" i="2"/>
  <c r="CF38" i="2"/>
  <c r="CF39" i="2"/>
  <c r="CF3" i="2"/>
  <c r="CF6" i="2"/>
  <c r="CF23" i="2"/>
  <c r="CF29" i="2"/>
  <c r="CF34" i="2"/>
  <c r="CF27" i="2"/>
  <c r="CF42" i="2"/>
  <c r="CF47" i="2"/>
  <c r="CF37" i="2"/>
  <c r="CF24" i="2"/>
  <c r="CF13" i="2"/>
  <c r="CF26" i="2"/>
  <c r="CF4" i="2"/>
  <c r="CF1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<sst xmlns="http://schemas.openxmlformats.org/spreadsheetml/2006/main" count="3914" uniqueCount="356">
  <si>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</si>
  <si>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</si>
  <si>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</si>
  <si>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</si>
  <si>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</si>
  <si>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</si>
  <si>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</si>
  <si>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</si>
  <si>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</si>
  <si>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</si>
  <si>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</si>
  <si>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</si>
  <si>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</si>
  <si>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</si>
  <si>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</si>
  <si>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</si>
  <si>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</si>
  <si>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</si>
  <si>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</si>
  <si>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</si>
  <si>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</si>
  <si>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</si>
  <si>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</si>
  <si>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</si>
  <si>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</si>
  <si>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</si>
  <si>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</si>
  <si>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</si>
  <si>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</si>
  <si>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</si>
  <si>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</si>
  <si>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</si>
  <si>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</si>
  <si>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</si>
  <si>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</si>
  <si>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</si>
  <si>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</si>
  <si>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</si>
  <si>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</si>
  <si>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</si>
  <si>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</si>
  <si>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</si>
  <si>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</si>
  <si>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</si>
  <si>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</si>
  <si>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</si>
  <si>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</si>
  <si>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</si>
  <si>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</si>
  <si>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</si>
  <si>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</si>
  <si>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</si>
  <si>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</si>
  <si>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</si>
  <si>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</si>
  <si>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</si>
  <si>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</si>
  <si>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</si>
  <si>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</si>
  <si>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</si>
  <si>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</si>
  <si>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</si>
  <si>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</si>
  <si>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</si>
  <si>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</si>
  <si>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</si>
  <si>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</si>
  <si>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</si>
  <si>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</si>
  <si>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</si>
  <si>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</si>
  <si>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</si>
  <si>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</si>
  <si>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</si>
  <si>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</si>
  <si>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</si>
  <si>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</si>
  <si>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</si>
  <si>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</si>
  <si>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</si>
  <si>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</si>
  <si>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</si>
  <si>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</si>
  <si>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</si>
  <si>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</si>
  <si>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</si>
  <si>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</si>
  <si>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</si>
  <si>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</si>
  <si>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</si>
  <si>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</si>
  <si>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</si>
  <si>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</si>
  <si>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</si>
  <si>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</si>
  <si>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</si>
  <si>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</si>
  <si>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</si>
  <si>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</si>
  <si>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</si>
  <si>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</si>
  <si>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</si>
  <si>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</si>
  <si>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</si>
  <si>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</si>
  <si>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</si>
  <si>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</si>
  <si>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</si>
  <si>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</si>
  <si>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</si>
  <si>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</si>
  <si>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</si>
  <si>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</si>
  <si>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</si>
  <si>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</si>
  <si>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</si>
  <si>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</si>
  <si>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</si>
  <si>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</si>
  <si>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</si>
  <si>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</si>
  <si>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</si>
  <si>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</si>
  <si>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</si>
  <si>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</si>
  <si>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</si>
  <si>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</si>
  <si>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</si>
  <si>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</si>
  <si>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</si>
  <si>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</si>
  <si>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</si>
  <si>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</si>
  <si>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</si>
  <si>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</si>
  <si>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</si>
  <si>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</si>
  <si>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</si>
  <si>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</si>
  <si>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</si>
  <si>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</si>
  <si>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</si>
  <si>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</si>
  <si>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</si>
  <si>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</si>
  <si>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</si>
  <si>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</si>
  <si>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</si>
  <si>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</si>
  <si>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</si>
  <si>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</si>
  <si>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</si>
  <si>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</si>
  <si>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</si>
  <si>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</si>
  <si>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</si>
  <si>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</si>
  <si>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</si>
  <si>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</si>
  <si>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</si>
  <si>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</si>
  <si>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</si>
  <si>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</si>
  <si>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</si>
  <si>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</si>
  <si>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</si>
  <si>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</si>
  <si>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</si>
  <si>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</si>
  <si>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</si>
  <si>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</si>
  <si>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</si>
  <si>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</si>
  <si>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</si>
  <si>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</si>
  <si>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</si>
  <si>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</si>
  <si>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</si>
  <si>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</si>
  <si>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</si>
  <si>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</si>
  <si>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</si>
  <si>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</si>
  <si>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</si>
  <si>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</si>
  <si>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</si>
  <si>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</si>
  <si>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</si>
  <si>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</si>
  <si>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</si>
  <si>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</si>
  <si>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</si>
  <si>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</si>
  <si>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</si>
  <si>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</si>
  <si>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</si>
  <si>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</si>
  <si>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</si>
  <si>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</si>
  <si>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</si>
  <si>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</si>
  <si>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</si>
  <si>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</si>
  <si>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</si>
  <si>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</si>
  <si>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</si>
  <si>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</si>
  <si>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</si>
  <si>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</si>
  <si>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</si>
  <si>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</si>
  <si>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</si>
  <si>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</si>
  <si>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</si>
  <si>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</si>
  <si>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</si>
  <si>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</si>
  <si>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</si>
  <si>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</si>
  <si>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</si>
  <si>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</si>
  <si>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</si>
  <si>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</si>
  <si>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</si>
  <si>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</si>
  <si>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</si>
  <si>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</si>
  <si>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</si>
  <si>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</si>
  <si>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</si>
  <si>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</si>
  <si>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</si>
  <si>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</si>
  <si>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</si>
  <si>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</si>
  <si>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</si>
  <si>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</si>
  <si>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</si>
  <si>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</si>
  <si>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</si>
  <si>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</si>
  <si>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</si>
  <si>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</si>
  <si>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</si>
  <si>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</si>
  <si>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</si>
  <si>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</si>
  <si>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</si>
  <si>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</si>
  <si>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C</t>
  </si>
  <si>
    <t>Fase</t>
  </si>
  <si>
    <t>Partit</t>
  </si>
  <si>
    <t>Data</t>
  </si>
  <si>
    <t>Jornada 3</t>
  </si>
  <si>
    <t>E</t>
  </si>
  <si>
    <t>F</t>
  </si>
  <si>
    <t>D</t>
  </si>
  <si>
    <t>I</t>
  </si>
  <si>
    <t>H</t>
  </si>
  <si>
    <t>G</t>
  </si>
  <si>
    <t>L</t>
  </si>
  <si>
    <t>K</t>
  </si>
  <si>
    <t>J</t>
  </si>
  <si>
    <t>Hora</t>
  </si>
  <si>
    <t>Resultat</t>
  </si>
  <si>
    <t>Bòsnia i Hercegovina vs. Qatar</t>
  </si>
  <si>
    <t>B</t>
  </si>
  <si>
    <t>Suïssa vs. Canadà</t>
  </si>
  <si>
    <t>Escòcia vs. Brasil</t>
  </si>
  <si>
    <t>0 - 3</t>
  </si>
  <si>
    <t>Marroc vs. Haití</t>
  </si>
  <si>
    <t>Sud-àfrica vs. Corea del Sud</t>
  </si>
  <si>
    <t>1 - 0</t>
  </si>
  <si>
    <t>A</t>
  </si>
  <si>
    <t>República Txeca vs. Mèxic</t>
  </si>
  <si>
    <t>2-1</t>
  </si>
  <si>
    <t>0-3</t>
  </si>
  <si>
    <t>4-2</t>
  </si>
  <si>
    <t>0-2</t>
  </si>
  <si>
    <t>1-1</t>
  </si>
  <si>
    <t>Equador vs. Alemanya</t>
  </si>
  <si>
    <t>Curaçao vs. Costa d’Ivori</t>
  </si>
  <si>
    <t>Tunísia vs. Països Baixos</t>
  </si>
  <si>
    <t>Japó vs. Suècia</t>
  </si>
  <si>
    <t>Turquia vs. Estats Units</t>
  </si>
  <si>
    <t>Paraguai vs. Austràlia</t>
  </si>
  <si>
    <t>Noruega vs. França</t>
  </si>
  <si>
    <t>Senegal vs. Iraq</t>
  </si>
  <si>
    <t>Uruguai vs. Espanya</t>
  </si>
  <si>
    <t>Cap Verd vs. Aràbia Saudita</t>
  </si>
  <si>
    <t>Nova Zelanda vs. Bèlgica</t>
  </si>
  <si>
    <t>Egipte vs. Iran</t>
  </si>
  <si>
    <t>Panamà vs. Anglaterra</t>
  </si>
  <si>
    <t>Croàcia vs. Ghana</t>
  </si>
  <si>
    <t>Colòmbia vs. Portugal</t>
  </si>
  <si>
    <t>Jordània vs. Argentina</t>
  </si>
  <si>
    <t>Algèria vs. Àustria</t>
  </si>
  <si>
    <t>RD del Congo vs. Uzbekistan</t>
  </si>
  <si>
    <t>3-2</t>
  </si>
  <si>
    <t>0-0</t>
  </si>
  <si>
    <t>1-4</t>
  </si>
  <si>
    <t>5-0</t>
  </si>
  <si>
    <t>0-1</t>
  </si>
  <si>
    <t>1-5</t>
  </si>
  <si>
    <t>3-3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</si>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</sst>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0" fillId="0" borderId="0" xfId="0" applyNumberFormat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0" borderId="0" xfId="0" applyAlignment="1"/>
    <xf numFmtId="0" fontId="0" fillId="10" borderId="2" xfId="0" applyFill="1" applyBorder="1" applyAlignment="1"/>
    <xf numFmtId="0" fontId="0" fillId="0" borderId="2" xfId="0" applyBorder="1" applyAlignment="1"/>
    <xf numFmtId="14" fontId="0" fillId="0" borderId="2" xfId="0" applyNumberFormat="1" applyBorder="1"/>
    <xf numFmtId="20" fontId="3" fillId="0" borderId="2" xfId="0" applyNumberFormat="1" applyFont="1" applyBorder="1"/>
    <xf numFmtId="16" fontId="0" fillId="0" borderId="2" xfId="0" quotePrefix="1" applyNumberFormat="1" applyBorder="1" applyAlignment="1"/>
    <xf numFmtId="0" fontId="0" fillId="0" borderId="2" xfId="0" quotePrefix="1" applyBorder="1" applyAlignment="1"/>
    <xf numFmtId="20" fontId="0" fillId="0" borderId="2" xfId="0" applyNumberFormat="1" applyBorder="1"/>
    <xf numFmtId="14" fontId="0" fillId="0" borderId="2" xfId="0" applyNumberFormat="1" applyBorder="1" applyAlignment="1"/>
    <xf numFmtId="20" fontId="0" fillId="0" borderId="2" xfId="0" applyNumberFormat="1" applyBorder="1" applyAlignment="1"/>
    <xf numFmtId="0" fontId="0" fillId="11" borderId="0" xfId="0" applyFill="1" applyAlignment="1">
      <alignment horizontal="center"/>
    </xf>
    <xf numFmtId="14" fontId="0" fillId="0" borderId="0" xfId="0" applyNumberFormat="1" applyAlignment="1"/>
    <xf numFmtId="20" fontId="0" fillId="0" borderId="0" xfId="0" applyNumberFormat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workbookViewId="0">
      <selection activeCell="E2" sqref="E2:E33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8.203125" bestFit="1" customWidth="1"/>
    <col min="7" max="8" width="7.93359375" bestFit="1" customWidth="1"/>
    <col min="9" max="9" width="10.492187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">
      <c r="A2" s="29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">
      <c r="A3" s="29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">
      <c r="A4" s="29" t="s">
        <v>227</v>
      </c>
      <c r="B4" s="2" t="s">
        <v>231</v>
      </c>
      <c r="C4" s="17" t="s">
        <v>98</v>
      </c>
      <c r="E4" s="14" t="str">
        <f>+C5</f>
        <v>Suïssa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">
      <c r="A5" s="29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229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">
      <c r="A6" s="29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2</v>
      </c>
    </row>
    <row r="7" spans="1:15" x14ac:dyDescent="0.2">
      <c r="A7" s="29" t="s">
        <v>232</v>
      </c>
      <c r="B7" s="2" t="s">
        <v>231</v>
      </c>
      <c r="C7" s="17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">
      <c r="A8" s="29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">
      <c r="A9" s="29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">
      <c r="A10" s="29" t="s">
        <v>233</v>
      </c>
      <c r="B10" s="2" t="s">
        <v>231</v>
      </c>
      <c r="C10" s="17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">
      <c r="A11" s="29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">
      <c r="A12" s="29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">
      <c r="A13" s="29" t="s">
        <v>234</v>
      </c>
      <c r="B13" s="2" t="s">
        <v>231</v>
      </c>
      <c r="C13" s="17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">
      <c r="A14" s="29" t="s">
        <v>235</v>
      </c>
      <c r="B14" s="2" t="s">
        <v>228</v>
      </c>
      <c r="C14" s="3" t="s">
        <v>90</v>
      </c>
      <c r="E14" s="14" t="str">
        <f>+C20</f>
        <v>Bèlgica</v>
      </c>
      <c r="F14" s="10" t="s">
        <v>229</v>
      </c>
      <c r="N14" t="s">
        <v>201</v>
      </c>
      <c r="O14" s="3">
        <v>0</v>
      </c>
    </row>
    <row r="15" spans="1:15" x14ac:dyDescent="0.2">
      <c r="A15" s="29" t="s">
        <v>235</v>
      </c>
      <c r="B15" s="2" t="s">
        <v>230</v>
      </c>
      <c r="C15" s="3" t="s">
        <v>114</v>
      </c>
      <c r="E15" s="14" t="str">
        <f>+C21</f>
        <v>Egipte</v>
      </c>
      <c r="F15" s="10" t="s">
        <v>229</v>
      </c>
    </row>
    <row r="16" spans="1:15" x14ac:dyDescent="0.2">
      <c r="A16" s="29" t="s">
        <v>235</v>
      </c>
      <c r="B16" s="2" t="s">
        <v>231</v>
      </c>
      <c r="C16" s="17" t="s">
        <v>102</v>
      </c>
      <c r="E16" s="14" t="str">
        <f>+C23</f>
        <v>Espanya</v>
      </c>
      <c r="F16" s="10" t="s">
        <v>229</v>
      </c>
    </row>
    <row r="17" spans="1:6" x14ac:dyDescent="0.2">
      <c r="A17" s="29" t="s">
        <v>236</v>
      </c>
      <c r="B17" s="2" t="s">
        <v>228</v>
      </c>
      <c r="C17" s="3" t="s">
        <v>91</v>
      </c>
      <c r="E17" s="14" t="str">
        <f>+C24</f>
        <v>Cap Verd</v>
      </c>
      <c r="F17" s="10" t="s">
        <v>229</v>
      </c>
    </row>
    <row r="18" spans="1:6" x14ac:dyDescent="0.2">
      <c r="A18" s="29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">
      <c r="A19" s="29" t="s">
        <v>236</v>
      </c>
      <c r="B19" s="2" t="s">
        <v>231</v>
      </c>
      <c r="C19" s="17" t="s">
        <v>103</v>
      </c>
      <c r="E19" s="14" t="str">
        <f>+C27</f>
        <v>Noruega</v>
      </c>
    </row>
    <row r="20" spans="1:6" x14ac:dyDescent="0.2">
      <c r="A20" s="2" t="s">
        <v>237</v>
      </c>
      <c r="B20" s="2" t="s">
        <v>228</v>
      </c>
      <c r="C20" s="3" t="s">
        <v>92</v>
      </c>
      <c r="E20" s="14" t="str">
        <f>+C29</f>
        <v>Argentina</v>
      </c>
    </row>
    <row r="21" spans="1:6" x14ac:dyDescent="0.2">
      <c r="A21" s="2" t="s">
        <v>237</v>
      </c>
      <c r="B21" s="2" t="s">
        <v>230</v>
      </c>
      <c r="C21" s="3" t="s">
        <v>104</v>
      </c>
      <c r="E21" s="14" t="str">
        <f>+C30</f>
        <v>Àustria</v>
      </c>
    </row>
    <row r="22" spans="1:6" x14ac:dyDescent="0.2">
      <c r="A22" s="2" t="s">
        <v>237</v>
      </c>
      <c r="B22" s="2" t="s">
        <v>231</v>
      </c>
      <c r="C22" s="17" t="s">
        <v>116</v>
      </c>
      <c r="E22" s="14" t="str">
        <f>+C32</f>
        <v>Colòmbia</v>
      </c>
    </row>
    <row r="23" spans="1:6" x14ac:dyDescent="0.2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">
      <c r="A24" s="2" t="s">
        <v>238</v>
      </c>
      <c r="B24" s="2" t="s">
        <v>230</v>
      </c>
      <c r="C24" s="3" t="s">
        <v>143</v>
      </c>
      <c r="E24" s="14" t="str">
        <f>+C35</f>
        <v>Anglaterra</v>
      </c>
    </row>
    <row r="25" spans="1:6" x14ac:dyDescent="0.2">
      <c r="A25" s="2" t="s">
        <v>238</v>
      </c>
      <c r="B25" s="2" t="s">
        <v>231</v>
      </c>
      <c r="C25" s="17" t="s">
        <v>105</v>
      </c>
      <c r="E25" s="14" t="str">
        <f>+C36</f>
        <v>Croàcia</v>
      </c>
    </row>
    <row r="26" spans="1:6" x14ac:dyDescent="0.2">
      <c r="A26" s="2" t="s">
        <v>239</v>
      </c>
      <c r="B26" s="2" t="s">
        <v>228</v>
      </c>
      <c r="C26" s="3" t="s">
        <v>94</v>
      </c>
      <c r="E26" s="10" t="s">
        <v>128</v>
      </c>
      <c r="F26" s="3"/>
    </row>
    <row r="27" spans="1:6" x14ac:dyDescent="0.2">
      <c r="A27" s="2" t="s">
        <v>239</v>
      </c>
      <c r="B27" s="2" t="s">
        <v>230</v>
      </c>
      <c r="C27" s="3" t="s">
        <v>118</v>
      </c>
      <c r="E27" s="10" t="s">
        <v>103</v>
      </c>
    </row>
    <row r="28" spans="1:6" x14ac:dyDescent="0.2">
      <c r="A28" s="2" t="s">
        <v>239</v>
      </c>
      <c r="B28" s="2" t="s">
        <v>231</v>
      </c>
      <c r="C28" s="17" t="s">
        <v>106</v>
      </c>
      <c r="E28" s="10" t="s">
        <v>121</v>
      </c>
    </row>
    <row r="29" spans="1:6" x14ac:dyDescent="0.2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2">
      <c r="A30" s="2" t="s">
        <v>240</v>
      </c>
      <c r="B30" s="2" t="s">
        <v>230</v>
      </c>
      <c r="C30" s="13" t="s">
        <v>107</v>
      </c>
      <c r="E30" s="10" t="s">
        <v>246</v>
      </c>
    </row>
    <row r="31" spans="1:6" x14ac:dyDescent="0.2">
      <c r="A31" s="2" t="s">
        <v>240</v>
      </c>
      <c r="B31" s="2" t="s">
        <v>231</v>
      </c>
      <c r="C31" s="18" t="s">
        <v>119</v>
      </c>
      <c r="E31" s="10" t="s">
        <v>113</v>
      </c>
    </row>
    <row r="32" spans="1:6" x14ac:dyDescent="0.2">
      <c r="A32" s="2" t="s">
        <v>241</v>
      </c>
      <c r="B32" s="2" t="s">
        <v>228</v>
      </c>
      <c r="C32" s="3" t="s">
        <v>108</v>
      </c>
      <c r="E32" s="10" t="s">
        <v>119</v>
      </c>
    </row>
    <row r="33" spans="1:5" x14ac:dyDescent="0.2">
      <c r="A33" s="2" t="s">
        <v>241</v>
      </c>
      <c r="B33" s="2" t="s">
        <v>230</v>
      </c>
      <c r="C33" s="3" t="s">
        <v>96</v>
      </c>
      <c r="E33" s="10" t="s">
        <v>106</v>
      </c>
    </row>
    <row r="34" spans="1:5" x14ac:dyDescent="0.2">
      <c r="A34" s="2" t="s">
        <v>241</v>
      </c>
      <c r="B34" s="2" t="s">
        <v>231</v>
      </c>
      <c r="C34" s="17" t="s">
        <v>128</v>
      </c>
    </row>
    <row r="35" spans="1:5" x14ac:dyDescent="0.2">
      <c r="A35" s="2" t="s">
        <v>242</v>
      </c>
      <c r="B35" s="2" t="s">
        <v>228</v>
      </c>
      <c r="C35" s="3" t="s">
        <v>97</v>
      </c>
    </row>
    <row r="36" spans="1:5" x14ac:dyDescent="0.2">
      <c r="A36" s="2" t="s">
        <v>242</v>
      </c>
      <c r="B36" s="2" t="s">
        <v>230</v>
      </c>
      <c r="C36" s="3" t="s">
        <v>109</v>
      </c>
    </row>
    <row r="37" spans="1:5" x14ac:dyDescent="0.2">
      <c r="A37" s="2" t="s">
        <v>242</v>
      </c>
      <c r="B37" s="2" t="s">
        <v>231</v>
      </c>
      <c r="C37" s="17" t="s">
        <v>121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L41"/>
  <sheetViews>
    <sheetView tabSelected="1" topLeftCell="A2" zoomScaleNormal="60" zoomScaleSheetLayoutView="100" workbookViewId="0">
      <selection activeCell="A26" sqref="A26:A41"/>
    </sheetView>
  </sheetViews>
  <sheetFormatPr defaultColWidth="11.296875" defaultRowHeight="15" x14ac:dyDescent="0.2"/>
  <cols>
    <col min="1" max="1" width="8.875" style="19" bestFit="1" customWidth="1"/>
    <col min="2" max="2" width="26.09765625" style="19" bestFit="1" customWidth="1"/>
    <col min="3" max="4" width="11.296875" style="19"/>
    <col min="5" max="5" width="4.9765625" style="19" bestFit="1" customWidth="1"/>
    <col min="6" max="6" width="23.13671875" style="19" customWidth="1"/>
    <col min="7" max="9" width="11.296875" style="19"/>
    <col min="10" max="10" width="51.65625" style="19" customWidth="1"/>
    <col min="11" max="16384" width="11.296875" style="19"/>
  </cols>
  <sheetData>
    <row r="1" spans="1:12" x14ac:dyDescent="0.2">
      <c r="A1" s="20" t="s">
        <v>250</v>
      </c>
      <c r="B1" s="20" t="s">
        <v>251</v>
      </c>
      <c r="C1" s="20" t="s">
        <v>252</v>
      </c>
      <c r="D1" s="20" t="s">
        <v>263</v>
      </c>
      <c r="E1" s="20" t="s">
        <v>217</v>
      </c>
      <c r="F1" s="20" t="s">
        <v>264</v>
      </c>
    </row>
    <row r="2" spans="1:12" x14ac:dyDescent="0.2">
      <c r="A2" s="21" t="s">
        <v>253</v>
      </c>
      <c r="B2" s="10" t="s">
        <v>271</v>
      </c>
      <c r="C2" s="22">
        <v>46197</v>
      </c>
      <c r="D2" s="23">
        <v>0.75</v>
      </c>
      <c r="E2" s="21" t="s">
        <v>273</v>
      </c>
      <c r="F2" s="10" t="s">
        <v>272</v>
      </c>
    </row>
    <row r="3" spans="1:12" x14ac:dyDescent="0.2">
      <c r="A3" s="21" t="s">
        <v>253</v>
      </c>
      <c r="B3" s="10" t="s">
        <v>274</v>
      </c>
      <c r="C3" s="22">
        <v>46197</v>
      </c>
      <c r="D3" s="23">
        <v>0.75</v>
      </c>
      <c r="E3" s="21" t="s">
        <v>273</v>
      </c>
      <c r="F3" s="10" t="s">
        <v>269</v>
      </c>
    </row>
    <row r="4" spans="1:12" x14ac:dyDescent="0.2">
      <c r="A4" s="21" t="s">
        <v>253</v>
      </c>
      <c r="B4" s="10" t="s">
        <v>265</v>
      </c>
      <c r="C4" s="22">
        <v>46197</v>
      </c>
      <c r="D4" s="23">
        <v>0.875</v>
      </c>
      <c r="E4" s="21" t="s">
        <v>266</v>
      </c>
      <c r="F4" s="24" t="s">
        <v>216</v>
      </c>
    </row>
    <row r="5" spans="1:12" x14ac:dyDescent="0.2">
      <c r="A5" s="21" t="s">
        <v>253</v>
      </c>
      <c r="B5" s="10" t="s">
        <v>267</v>
      </c>
      <c r="C5" s="22">
        <v>46197</v>
      </c>
      <c r="D5" s="23">
        <v>0.875</v>
      </c>
      <c r="E5" s="21" t="s">
        <v>266</v>
      </c>
      <c r="F5" s="25" t="s">
        <v>275</v>
      </c>
    </row>
    <row r="6" spans="1:12" x14ac:dyDescent="0.2">
      <c r="A6" s="21" t="s">
        <v>253</v>
      </c>
      <c r="B6" s="10" t="s">
        <v>268</v>
      </c>
      <c r="C6" s="22">
        <v>46198</v>
      </c>
      <c r="D6" s="26">
        <v>0.125</v>
      </c>
      <c r="E6" s="21" t="s">
        <v>249</v>
      </c>
      <c r="F6" s="25" t="s">
        <v>276</v>
      </c>
    </row>
    <row r="7" spans="1:12" x14ac:dyDescent="0.2">
      <c r="A7" s="21" t="s">
        <v>253</v>
      </c>
      <c r="B7" s="10" t="s">
        <v>270</v>
      </c>
      <c r="C7" s="22">
        <v>46198</v>
      </c>
      <c r="D7" s="26">
        <v>0.125</v>
      </c>
      <c r="E7" s="21" t="s">
        <v>249</v>
      </c>
      <c r="F7" s="25" t="s">
        <v>277</v>
      </c>
    </row>
    <row r="8" spans="1:12" x14ac:dyDescent="0.2">
      <c r="A8" s="21" t="s">
        <v>253</v>
      </c>
      <c r="B8" s="10" t="s">
        <v>280</v>
      </c>
      <c r="C8" s="27">
        <v>46198</v>
      </c>
      <c r="D8" s="28">
        <v>0.91666666666666663</v>
      </c>
      <c r="E8" s="21" t="s">
        <v>254</v>
      </c>
      <c r="F8" s="24" t="s">
        <v>275</v>
      </c>
      <c r="J8"/>
      <c r="K8"/>
      <c r="L8"/>
    </row>
    <row r="9" spans="1:12" x14ac:dyDescent="0.2">
      <c r="A9" s="21" t="s">
        <v>253</v>
      </c>
      <c r="B9" s="10" t="s">
        <v>281</v>
      </c>
      <c r="C9" s="27">
        <v>46198</v>
      </c>
      <c r="D9" s="28">
        <v>0.91666666666666663</v>
      </c>
      <c r="E9" s="21" t="s">
        <v>254</v>
      </c>
      <c r="F9" s="25" t="s">
        <v>278</v>
      </c>
      <c r="J9"/>
      <c r="K9"/>
      <c r="L9"/>
    </row>
    <row r="10" spans="1:12" x14ac:dyDescent="0.2">
      <c r="A10" s="21" t="s">
        <v>253</v>
      </c>
      <c r="B10" s="10" t="s">
        <v>282</v>
      </c>
      <c r="C10" s="27">
        <v>46199</v>
      </c>
      <c r="D10" s="28">
        <v>4.1666666666666664E-2</v>
      </c>
      <c r="E10" s="21" t="s">
        <v>255</v>
      </c>
      <c r="F10" s="24" t="s">
        <v>149</v>
      </c>
      <c r="J10"/>
      <c r="K10"/>
      <c r="L10"/>
    </row>
    <row r="11" spans="1:12" x14ac:dyDescent="0.2">
      <c r="A11" s="21" t="s">
        <v>253</v>
      </c>
      <c r="B11" s="10" t="s">
        <v>283</v>
      </c>
      <c r="C11" s="27">
        <v>46199</v>
      </c>
      <c r="D11" s="28">
        <v>4.1666666666666664E-2</v>
      </c>
      <c r="E11" s="21" t="s">
        <v>255</v>
      </c>
      <c r="F11" s="25" t="s">
        <v>279</v>
      </c>
      <c r="J11"/>
      <c r="K11"/>
      <c r="L11"/>
    </row>
    <row r="12" spans="1:12" x14ac:dyDescent="0.2">
      <c r="A12" s="21" t="s">
        <v>253</v>
      </c>
      <c r="B12" s="10" t="s">
        <v>284</v>
      </c>
      <c r="C12" s="27">
        <v>46199</v>
      </c>
      <c r="D12" s="28">
        <v>0.16666666666666666</v>
      </c>
      <c r="E12" s="21" t="s">
        <v>256</v>
      </c>
      <c r="F12" s="25" t="s">
        <v>298</v>
      </c>
      <c r="J12"/>
      <c r="K12"/>
      <c r="L12"/>
    </row>
    <row r="13" spans="1:12" x14ac:dyDescent="0.2">
      <c r="A13" s="21" t="s">
        <v>253</v>
      </c>
      <c r="B13" s="10" t="s">
        <v>285</v>
      </c>
      <c r="C13" s="27">
        <v>46199</v>
      </c>
      <c r="D13" s="28">
        <v>0.16666666666666666</v>
      </c>
      <c r="E13" s="21" t="s">
        <v>256</v>
      </c>
      <c r="F13" s="25" t="s">
        <v>299</v>
      </c>
      <c r="J13"/>
      <c r="K13"/>
      <c r="L13"/>
    </row>
    <row r="14" spans="1:12" x14ac:dyDescent="0.2">
      <c r="A14" s="21" t="s">
        <v>253</v>
      </c>
      <c r="B14" s="10" t="s">
        <v>286</v>
      </c>
      <c r="C14" s="27">
        <v>46199</v>
      </c>
      <c r="D14" s="28">
        <v>0.875</v>
      </c>
      <c r="E14" s="21" t="s">
        <v>257</v>
      </c>
      <c r="F14" s="24" t="s">
        <v>300</v>
      </c>
    </row>
    <row r="15" spans="1:12" x14ac:dyDescent="0.2">
      <c r="A15" s="21" t="s">
        <v>253</v>
      </c>
      <c r="B15" s="10" t="s">
        <v>287</v>
      </c>
      <c r="C15" s="27">
        <v>46199</v>
      </c>
      <c r="D15" s="28">
        <v>0.875</v>
      </c>
      <c r="E15" s="21" t="s">
        <v>257</v>
      </c>
      <c r="F15" s="25" t="s">
        <v>301</v>
      </c>
    </row>
    <row r="16" spans="1:12" x14ac:dyDescent="0.2">
      <c r="A16" s="21" t="s">
        <v>253</v>
      </c>
      <c r="B16" s="10" t="s">
        <v>288</v>
      </c>
      <c r="C16" s="27">
        <v>46200</v>
      </c>
      <c r="D16" s="28">
        <v>8.3333333333333329E-2</v>
      </c>
      <c r="E16" s="21" t="s">
        <v>258</v>
      </c>
      <c r="F16" s="25" t="s">
        <v>302</v>
      </c>
    </row>
    <row r="17" spans="1:6" x14ac:dyDescent="0.2">
      <c r="A17" s="21" t="s">
        <v>253</v>
      </c>
      <c r="B17" s="10" t="s">
        <v>289</v>
      </c>
      <c r="C17" s="27">
        <v>46200</v>
      </c>
      <c r="D17" s="28">
        <v>8.3333333333333329E-2</v>
      </c>
      <c r="E17" s="21" t="s">
        <v>258</v>
      </c>
      <c r="F17" s="25" t="s">
        <v>299</v>
      </c>
    </row>
    <row r="18" spans="1:6" x14ac:dyDescent="0.2">
      <c r="A18" s="21" t="s">
        <v>253</v>
      </c>
      <c r="B18" s="10" t="s">
        <v>290</v>
      </c>
      <c r="C18" s="27">
        <v>46200</v>
      </c>
      <c r="D18" s="28">
        <v>0.20833333333333334</v>
      </c>
      <c r="E18" s="21" t="s">
        <v>259</v>
      </c>
      <c r="F18" s="25" t="s">
        <v>303</v>
      </c>
    </row>
    <row r="19" spans="1:6" x14ac:dyDescent="0.2">
      <c r="A19" s="21" t="s">
        <v>253</v>
      </c>
      <c r="B19" s="10" t="s">
        <v>291</v>
      </c>
      <c r="C19" s="27">
        <v>46200</v>
      </c>
      <c r="D19" s="28">
        <v>0.20833333333333334</v>
      </c>
      <c r="E19" s="21" t="s">
        <v>259</v>
      </c>
      <c r="F19" s="25" t="s">
        <v>279</v>
      </c>
    </row>
    <row r="20" spans="1:6" x14ac:dyDescent="0.2">
      <c r="A20" s="21" t="s">
        <v>253</v>
      </c>
      <c r="B20" s="10" t="s">
        <v>292</v>
      </c>
      <c r="C20" s="27">
        <v>46200</v>
      </c>
      <c r="D20" s="28">
        <v>0.95833333333333337</v>
      </c>
      <c r="E20" s="21" t="s">
        <v>260</v>
      </c>
      <c r="F20" s="25" t="s">
        <v>278</v>
      </c>
    </row>
    <row r="21" spans="1:6" x14ac:dyDescent="0.2">
      <c r="A21" s="21" t="s">
        <v>253</v>
      </c>
      <c r="B21" s="10" t="s">
        <v>293</v>
      </c>
      <c r="C21" s="27">
        <v>46200</v>
      </c>
      <c r="D21" s="28">
        <v>0.95833333333333337</v>
      </c>
      <c r="E21" s="21" t="s">
        <v>260</v>
      </c>
      <c r="F21" s="25" t="s">
        <v>275</v>
      </c>
    </row>
    <row r="22" spans="1:6" x14ac:dyDescent="0.2">
      <c r="A22" s="21" t="s">
        <v>253</v>
      </c>
      <c r="B22" s="10" t="s">
        <v>294</v>
      </c>
      <c r="C22" s="27">
        <v>46201</v>
      </c>
      <c r="D22" s="28">
        <v>6.25E-2</v>
      </c>
      <c r="E22" s="21" t="s">
        <v>261</v>
      </c>
      <c r="F22" s="25" t="s">
        <v>299</v>
      </c>
    </row>
    <row r="23" spans="1:6" x14ac:dyDescent="0.2">
      <c r="A23" s="21" t="s">
        <v>253</v>
      </c>
      <c r="B23" s="10" t="s">
        <v>297</v>
      </c>
      <c r="C23" s="27">
        <v>46201</v>
      </c>
      <c r="D23" s="28">
        <v>6.25E-2</v>
      </c>
      <c r="E23" s="21" t="s">
        <v>261</v>
      </c>
      <c r="F23" s="25" t="s">
        <v>216</v>
      </c>
    </row>
    <row r="24" spans="1:6" x14ac:dyDescent="0.2">
      <c r="A24" s="21" t="s">
        <v>253</v>
      </c>
      <c r="B24" s="10" t="s">
        <v>295</v>
      </c>
      <c r="C24" s="27">
        <v>46201</v>
      </c>
      <c r="D24" s="28">
        <v>0.16666666666666666</v>
      </c>
      <c r="E24" s="21" t="s">
        <v>262</v>
      </c>
      <c r="F24" s="25" t="s">
        <v>149</v>
      </c>
    </row>
    <row r="25" spans="1:6" x14ac:dyDescent="0.2">
      <c r="A25" s="21" t="s">
        <v>253</v>
      </c>
      <c r="B25" s="10" t="s">
        <v>296</v>
      </c>
      <c r="C25" s="27">
        <v>46201</v>
      </c>
      <c r="D25" s="28">
        <v>0.16666666666666666</v>
      </c>
      <c r="E25" s="21" t="s">
        <v>262</v>
      </c>
      <c r="F25" s="25" t="s">
        <v>304</v>
      </c>
    </row>
    <row r="26" spans="1:6" x14ac:dyDescent="0.2">
      <c r="A26" s="19" t="s">
        <v>321</v>
      </c>
      <c r="B26" s="19" t="s">
        <v>305</v>
      </c>
      <c r="C26" s="30">
        <v>46201</v>
      </c>
      <c r="D26" s="31">
        <v>0.875</v>
      </c>
    </row>
    <row r="27" spans="1:6" x14ac:dyDescent="0.2">
      <c r="A27" s="19" t="s">
        <v>321</v>
      </c>
      <c r="B27" s="19" t="s">
        <v>306</v>
      </c>
      <c r="C27" s="30">
        <v>46202</v>
      </c>
      <c r="D27" s="31">
        <v>0.79166666666666663</v>
      </c>
    </row>
    <row r="28" spans="1:6" x14ac:dyDescent="0.2">
      <c r="A28" s="19" t="s">
        <v>321</v>
      </c>
      <c r="B28" s="19" t="s">
        <v>307</v>
      </c>
      <c r="C28" s="30">
        <v>46202</v>
      </c>
      <c r="D28" s="31">
        <v>0.9375</v>
      </c>
    </row>
    <row r="29" spans="1:6" x14ac:dyDescent="0.2">
      <c r="A29" s="19" t="s">
        <v>321</v>
      </c>
      <c r="B29" s="19" t="s">
        <v>308</v>
      </c>
      <c r="C29" s="30">
        <v>46203</v>
      </c>
      <c r="D29" s="31">
        <v>0.125</v>
      </c>
    </row>
    <row r="30" spans="1:6" x14ac:dyDescent="0.2">
      <c r="A30" s="19" t="s">
        <v>321</v>
      </c>
      <c r="B30" s="19" t="s">
        <v>309</v>
      </c>
      <c r="C30" s="30">
        <v>46203</v>
      </c>
      <c r="D30" s="31">
        <v>0.79166666666666663</v>
      </c>
    </row>
    <row r="31" spans="1:6" x14ac:dyDescent="0.2">
      <c r="A31" s="19" t="s">
        <v>321</v>
      </c>
      <c r="B31" s="19" t="s">
        <v>310</v>
      </c>
      <c r="C31" s="30">
        <v>46203</v>
      </c>
      <c r="D31" s="31">
        <v>0.95833333333333337</v>
      </c>
    </row>
    <row r="32" spans="1:6" x14ac:dyDescent="0.2">
      <c r="A32" s="19" t="s">
        <v>321</v>
      </c>
      <c r="B32" s="19" t="s">
        <v>311</v>
      </c>
      <c r="C32" s="30">
        <v>46204</v>
      </c>
      <c r="D32" s="31">
        <v>0.125</v>
      </c>
    </row>
    <row r="33" spans="1:4" x14ac:dyDescent="0.2">
      <c r="A33" s="19" t="s">
        <v>321</v>
      </c>
      <c r="B33" s="19" t="s">
        <v>312</v>
      </c>
      <c r="C33" s="30">
        <v>46204</v>
      </c>
      <c r="D33" s="31">
        <v>0.75</v>
      </c>
    </row>
    <row r="34" spans="1:4" x14ac:dyDescent="0.2">
      <c r="A34" s="19" t="s">
        <v>321</v>
      </c>
      <c r="B34" s="19" t="s">
        <v>313</v>
      </c>
      <c r="C34" s="30">
        <v>46204</v>
      </c>
      <c r="D34" s="31">
        <v>0.91666666666666663</v>
      </c>
    </row>
    <row r="35" spans="1:4" x14ac:dyDescent="0.2">
      <c r="A35" s="19" t="s">
        <v>321</v>
      </c>
      <c r="B35" s="19" t="s">
        <v>314</v>
      </c>
      <c r="C35" s="30">
        <v>46205</v>
      </c>
      <c r="D35" s="31">
        <v>8.3333333333333329E-2</v>
      </c>
    </row>
    <row r="36" spans="1:4" x14ac:dyDescent="0.2">
      <c r="A36" s="19" t="s">
        <v>321</v>
      </c>
      <c r="B36" s="19" t="s">
        <v>315</v>
      </c>
      <c r="C36" s="30">
        <v>46205</v>
      </c>
      <c r="D36" s="31">
        <v>0.875</v>
      </c>
    </row>
    <row r="37" spans="1:4" x14ac:dyDescent="0.2">
      <c r="A37" s="19" t="s">
        <v>321</v>
      </c>
      <c r="B37" s="19" t="s">
        <v>316</v>
      </c>
      <c r="C37" s="30">
        <v>46206</v>
      </c>
      <c r="D37" s="31">
        <v>4.1666666666666664E-2</v>
      </c>
    </row>
    <row r="38" spans="1:4" x14ac:dyDescent="0.2">
      <c r="A38" s="19" t="s">
        <v>321</v>
      </c>
      <c r="B38" s="19" t="s">
        <v>317</v>
      </c>
      <c r="C38" s="30">
        <v>46206</v>
      </c>
      <c r="D38" s="31">
        <v>0.20833333333333334</v>
      </c>
    </row>
    <row r="39" spans="1:4" x14ac:dyDescent="0.2">
      <c r="A39" s="19" t="s">
        <v>321</v>
      </c>
      <c r="B39" s="19" t="s">
        <v>318</v>
      </c>
      <c r="C39" s="30">
        <v>46206</v>
      </c>
      <c r="D39" s="31">
        <v>0.83333333333333337</v>
      </c>
    </row>
    <row r="40" spans="1:4" x14ac:dyDescent="0.2">
      <c r="A40" s="19" t="s">
        <v>321</v>
      </c>
      <c r="B40" s="19" t="s">
        <v>319</v>
      </c>
      <c r="C40" s="30">
        <v>46207</v>
      </c>
      <c r="D40" s="31">
        <v>0</v>
      </c>
    </row>
    <row r="41" spans="1:4" x14ac:dyDescent="0.2">
      <c r="A41" s="19" t="s">
        <v>321</v>
      </c>
      <c r="B41" s="19" t="s">
        <v>320</v>
      </c>
      <c r="C41" s="30">
        <v>46207</v>
      </c>
      <c r="D41" s="31">
        <v>0.14583333333333334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13.5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>SUM(BU2:CE2)</f>
        <v>54.5</v>
      </c>
    </row>
    <row r="3" spans="1:84" x14ac:dyDescent="0.2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>SUM(BU3:CE3)</f>
        <v>54</v>
      </c>
    </row>
    <row r="4" spans="1:84" x14ac:dyDescent="0.2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13.5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>SUM(BU4:CE4)</f>
        <v>51.5</v>
      </c>
    </row>
    <row r="5" spans="1:84" x14ac:dyDescent="0.2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>SUM(BU5:CE5)</f>
        <v>53.5</v>
      </c>
    </row>
    <row r="6" spans="1:84" x14ac:dyDescent="0.2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>SUM(BU6:CE6)</f>
        <v>56.5</v>
      </c>
    </row>
    <row r="7" spans="1:84" ht="15.75" customHeight="1" x14ac:dyDescent="0.2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>SUM(BU7:CE7)</f>
        <v>54.5</v>
      </c>
    </row>
    <row r="8" spans="1:84" x14ac:dyDescent="0.2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>SUM(BU8:CE8)</f>
        <v>55</v>
      </c>
    </row>
    <row r="9" spans="1:84" x14ac:dyDescent="0.2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>SUM(BU9:CE9)</f>
        <v>49.5</v>
      </c>
    </row>
    <row r="10" spans="1:84" x14ac:dyDescent="0.2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>SUM(BU10:CE10)</f>
        <v>53</v>
      </c>
    </row>
    <row r="11" spans="1:84" x14ac:dyDescent="0.2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16.5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>SUM(BU11:CE11)</f>
        <v>56.5</v>
      </c>
    </row>
    <row r="12" spans="1:84" x14ac:dyDescent="0.2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>SUM(BU12:CE12)</f>
        <v>54.5</v>
      </c>
    </row>
    <row r="13" spans="1:84" x14ac:dyDescent="0.2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>SUM(BU13:CE13)</f>
        <v>47.5</v>
      </c>
    </row>
    <row r="14" spans="1:84" x14ac:dyDescent="0.2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15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>SUM(BU14:CE14)</f>
        <v>54.5</v>
      </c>
    </row>
    <row r="15" spans="1:84" x14ac:dyDescent="0.2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>SUM(BU15:CE15)</f>
        <v>53</v>
      </c>
    </row>
    <row r="16" spans="1:84" x14ac:dyDescent="0.2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>SUM(BU16:CE16)</f>
        <v>51</v>
      </c>
    </row>
    <row r="17" spans="1:84" x14ac:dyDescent="0.2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>SUM(BU17:CE17)</f>
        <v>42.5</v>
      </c>
    </row>
    <row r="18" spans="1:84" x14ac:dyDescent="0.2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>SUM(BU18:CE18)</f>
        <v>51</v>
      </c>
    </row>
    <row r="19" spans="1:84" x14ac:dyDescent="0.2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>SUM(BU19:CE19)</f>
        <v>52</v>
      </c>
    </row>
    <row r="20" spans="1:84" x14ac:dyDescent="0.2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15.5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>SUM(BU20:CE20)</f>
        <v>53.5</v>
      </c>
    </row>
    <row r="21" spans="1:84" x14ac:dyDescent="0.2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>SUM(BU21:CE21)</f>
        <v>49</v>
      </c>
    </row>
    <row r="22" spans="1:84" x14ac:dyDescent="0.2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12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>SUM(BU22:CE22)</f>
        <v>53</v>
      </c>
    </row>
    <row r="23" spans="1:84" x14ac:dyDescent="0.2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15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>SUM(BU23:CE23)</f>
        <v>52.5</v>
      </c>
    </row>
    <row r="24" spans="1:84" x14ac:dyDescent="0.2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13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>SUM(BU24:CE24)</f>
        <v>51</v>
      </c>
    </row>
    <row r="25" spans="1:84" x14ac:dyDescent="0.2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12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>SUM(BU25:CE25)</f>
        <v>50</v>
      </c>
    </row>
    <row r="26" spans="1:84" x14ac:dyDescent="0.2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11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>SUM(BU26:CE26)</f>
        <v>50</v>
      </c>
    </row>
    <row r="27" spans="1:84" x14ac:dyDescent="0.2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>SUM(BU27:CE27)</f>
        <v>47</v>
      </c>
    </row>
    <row r="28" spans="1:84" x14ac:dyDescent="0.2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13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>SUM(BU28:CE28)</f>
        <v>54</v>
      </c>
    </row>
    <row r="29" spans="1:84" x14ac:dyDescent="0.2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>SUM(BU29:CE29)</f>
        <v>49</v>
      </c>
    </row>
    <row r="30" spans="1:84" x14ac:dyDescent="0.2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>SUM(BU30:CE30)</f>
        <v>52</v>
      </c>
    </row>
    <row r="31" spans="1:84" x14ac:dyDescent="0.2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>SUM(BU31:CE31)</f>
        <v>51.5</v>
      </c>
    </row>
    <row r="32" spans="1:84" x14ac:dyDescent="0.2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>SUM(BU32:CE32)</f>
        <v>49.5</v>
      </c>
    </row>
    <row r="33" spans="1:84" x14ac:dyDescent="0.2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13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>SUM(BU33:CE33)</f>
        <v>50</v>
      </c>
    </row>
    <row r="34" spans="1:84" x14ac:dyDescent="0.2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11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>SUM(BU34:CE34)</f>
        <v>48</v>
      </c>
    </row>
    <row r="35" spans="1:84" x14ac:dyDescent="0.2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6.5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>SUM(BU35:CE35)</f>
        <v>48.5</v>
      </c>
    </row>
    <row r="36" spans="1:84" x14ac:dyDescent="0.2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>SUM(BU36:CE36)</f>
        <v>49</v>
      </c>
    </row>
    <row r="37" spans="1:84" x14ac:dyDescent="0.2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9.5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>SUM(BU37:CE37)</f>
        <v>49.5</v>
      </c>
    </row>
    <row r="38" spans="1:84" x14ac:dyDescent="0.2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>SUM(BU38:CE38)</f>
        <v>48</v>
      </c>
    </row>
    <row r="39" spans="1:84" x14ac:dyDescent="0.2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2</v>
      </c>
      <c r="CE39">
        <f>IF(BR39='Resultats Reals'!$L$2,5,0)</f>
        <v>0</v>
      </c>
      <c r="CF39" s="7">
        <f>SUM(BU39:CE39)</f>
        <v>47</v>
      </c>
    </row>
    <row r="40" spans="1:84" x14ac:dyDescent="0.2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0</v>
      </c>
      <c r="CE40">
        <f>IF(BR40='Resultats Reals'!$L$2,5,0)</f>
        <v>0</v>
      </c>
      <c r="CF40" s="7">
        <f>SUM(BU40:CE40)</f>
        <v>46</v>
      </c>
    </row>
    <row r="41" spans="1:84" x14ac:dyDescent="0.2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>SUM(BU41:CE41)</f>
        <v>45</v>
      </c>
    </row>
    <row r="42" spans="1:84" x14ac:dyDescent="0.2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>SUM(BU42:CE42)</f>
        <v>47</v>
      </c>
    </row>
    <row r="43" spans="1:84" x14ac:dyDescent="0.2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>SUM(BU43:CE43)</f>
        <v>47</v>
      </c>
    </row>
    <row r="44" spans="1:84" x14ac:dyDescent="0.2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12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>SUM(BU44:CE44)</f>
        <v>45</v>
      </c>
    </row>
    <row r="45" spans="1:84" x14ac:dyDescent="0.2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>SUM(BU45:CE45)</f>
        <v>45.5</v>
      </c>
    </row>
    <row r="46" spans="1:84" x14ac:dyDescent="0.2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11.5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>SUM(BU46:CE46)</f>
        <v>46.5</v>
      </c>
    </row>
    <row r="47" spans="1:84" x14ac:dyDescent="0.2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14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>SUM(BU47:CE47)</f>
        <v>43</v>
      </c>
    </row>
    <row r="48" spans="1:84" x14ac:dyDescent="0.2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20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0</v>
      </c>
      <c r="CE48">
        <f>IF(BR48='Resultats Reals'!$L$2,5,0)</f>
        <v>0</v>
      </c>
      <c r="CF48" s="7">
        <f>SUM(BU48:CE48)</f>
        <v>41.5</v>
      </c>
    </row>
    <row r="49" spans="1:84" x14ac:dyDescent="0.2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6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>SUM(BU49:CE49)</f>
        <v>36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243</v>
      </c>
      <c r="B1" t="s">
        <v>244</v>
      </c>
    </row>
    <row r="2" spans="1:2" x14ac:dyDescent="0.2">
      <c r="A2" s="12" t="s">
        <v>174</v>
      </c>
      <c r="B2" s="15">
        <v>56</v>
      </c>
    </row>
    <row r="3" spans="1:2" x14ac:dyDescent="0.2">
      <c r="A3" s="12" t="s">
        <v>135</v>
      </c>
      <c r="B3" s="15">
        <v>56</v>
      </c>
    </row>
    <row r="4" spans="1:2" x14ac:dyDescent="0.2">
      <c r="A4" s="12" t="s">
        <v>205</v>
      </c>
      <c r="B4" s="15">
        <v>54.5</v>
      </c>
    </row>
    <row r="5" spans="1:2" x14ac:dyDescent="0.2">
      <c r="A5" s="12" t="s">
        <v>150</v>
      </c>
      <c r="B5" s="15">
        <v>54</v>
      </c>
    </row>
    <row r="6" spans="1:2" x14ac:dyDescent="0.2">
      <c r="A6" s="12" t="s">
        <v>208</v>
      </c>
      <c r="B6" s="15">
        <v>53.5</v>
      </c>
    </row>
    <row r="7" spans="1:2" x14ac:dyDescent="0.2">
      <c r="A7" s="12" t="s">
        <v>214</v>
      </c>
      <c r="B7" s="15">
        <v>53.5</v>
      </c>
    </row>
    <row r="8" spans="1:2" x14ac:dyDescent="0.2">
      <c r="A8" s="12" t="s">
        <v>210</v>
      </c>
      <c r="B8" s="15">
        <v>52</v>
      </c>
    </row>
    <row r="9" spans="1:2" x14ac:dyDescent="0.2">
      <c r="A9" s="12" t="s">
        <v>124</v>
      </c>
      <c r="B9" s="15">
        <v>52</v>
      </c>
    </row>
    <row r="10" spans="1:2" x14ac:dyDescent="0.2">
      <c r="A10" s="12" t="s">
        <v>185</v>
      </c>
      <c r="B10" s="15">
        <v>51.5</v>
      </c>
    </row>
    <row r="11" spans="1:2" x14ac:dyDescent="0.2">
      <c r="A11" s="12" t="s">
        <v>138</v>
      </c>
      <c r="B11" s="15">
        <v>51</v>
      </c>
    </row>
    <row r="12" spans="1:2" x14ac:dyDescent="0.2">
      <c r="A12" s="12" t="s">
        <v>184</v>
      </c>
      <c r="B12" s="15">
        <v>50.5</v>
      </c>
    </row>
    <row r="13" spans="1:2" x14ac:dyDescent="0.2">
      <c r="A13" s="12" t="s">
        <v>169</v>
      </c>
      <c r="B13" s="15">
        <v>50</v>
      </c>
    </row>
    <row r="14" spans="1:2" x14ac:dyDescent="0.2">
      <c r="A14" s="12" t="s">
        <v>189</v>
      </c>
      <c r="B14" s="15">
        <v>50</v>
      </c>
    </row>
    <row r="15" spans="1:2" x14ac:dyDescent="0.2">
      <c r="A15" s="12" t="s">
        <v>157</v>
      </c>
      <c r="B15" s="15">
        <v>49.5</v>
      </c>
    </row>
    <row r="16" spans="1:2" x14ac:dyDescent="0.2">
      <c r="A16" s="12" t="s">
        <v>191</v>
      </c>
      <c r="B16" s="15">
        <v>49.5</v>
      </c>
    </row>
    <row r="17" spans="1:2" x14ac:dyDescent="0.2">
      <c r="A17" s="12" t="s">
        <v>196</v>
      </c>
      <c r="B17" s="15">
        <v>49.5</v>
      </c>
    </row>
    <row r="18" spans="1:2" x14ac:dyDescent="0.2">
      <c r="A18" s="12" t="s">
        <v>137</v>
      </c>
      <c r="B18" s="15">
        <v>49.5</v>
      </c>
    </row>
    <row r="19" spans="1:2" x14ac:dyDescent="0.2">
      <c r="A19" s="12" t="s">
        <v>209</v>
      </c>
      <c r="B19" s="15">
        <v>49</v>
      </c>
    </row>
    <row r="20" spans="1:2" x14ac:dyDescent="0.2">
      <c r="A20" s="12" t="s">
        <v>154</v>
      </c>
      <c r="B20" s="15">
        <v>48.5</v>
      </c>
    </row>
    <row r="21" spans="1:2" x14ac:dyDescent="0.2">
      <c r="A21" s="12" t="s">
        <v>206</v>
      </c>
      <c r="B21" s="15">
        <v>48.5</v>
      </c>
    </row>
    <row r="22" spans="1:2" x14ac:dyDescent="0.2">
      <c r="A22" s="12" t="s">
        <v>176</v>
      </c>
      <c r="B22" s="15">
        <v>48</v>
      </c>
    </row>
    <row r="23" spans="1:2" x14ac:dyDescent="0.2">
      <c r="A23" s="12" t="s">
        <v>187</v>
      </c>
      <c r="B23" s="15">
        <v>48</v>
      </c>
    </row>
    <row r="24" spans="1:2" x14ac:dyDescent="0.2">
      <c r="A24" s="12" t="s">
        <v>181</v>
      </c>
      <c r="B24" s="15">
        <v>48</v>
      </c>
    </row>
    <row r="25" spans="1:2" x14ac:dyDescent="0.2">
      <c r="A25" s="12" t="s">
        <v>152</v>
      </c>
      <c r="B25" s="15">
        <v>48</v>
      </c>
    </row>
    <row r="26" spans="1:2" x14ac:dyDescent="0.2">
      <c r="A26" s="12" t="s">
        <v>192</v>
      </c>
      <c r="B26" s="15">
        <v>48</v>
      </c>
    </row>
    <row r="27" spans="1:2" x14ac:dyDescent="0.2">
      <c r="A27" s="12" t="s">
        <v>159</v>
      </c>
      <c r="B27" s="15">
        <v>47.5</v>
      </c>
    </row>
    <row r="28" spans="1:2" x14ac:dyDescent="0.2">
      <c r="A28" s="12" t="s">
        <v>84</v>
      </c>
      <c r="B28" s="15">
        <v>47.5</v>
      </c>
    </row>
    <row r="29" spans="1:2" x14ac:dyDescent="0.2">
      <c r="A29" s="12" t="s">
        <v>147</v>
      </c>
      <c r="B29" s="15">
        <v>47.5</v>
      </c>
    </row>
    <row r="30" spans="1:2" x14ac:dyDescent="0.2">
      <c r="A30" s="12" t="s">
        <v>179</v>
      </c>
      <c r="B30" s="15">
        <v>47</v>
      </c>
    </row>
    <row r="31" spans="1:2" x14ac:dyDescent="0.2">
      <c r="A31" s="12" t="s">
        <v>178</v>
      </c>
      <c r="B31" s="15">
        <v>47</v>
      </c>
    </row>
    <row r="32" spans="1:2" x14ac:dyDescent="0.2">
      <c r="A32" s="12" t="s">
        <v>156</v>
      </c>
      <c r="B32" s="15">
        <v>46.5</v>
      </c>
    </row>
    <row r="33" spans="1:2" x14ac:dyDescent="0.2">
      <c r="A33" s="12" t="s">
        <v>166</v>
      </c>
      <c r="B33" s="15">
        <v>46.5</v>
      </c>
    </row>
    <row r="34" spans="1:2" x14ac:dyDescent="0.2">
      <c r="A34" s="12" t="s">
        <v>170</v>
      </c>
      <c r="B34" s="15">
        <v>46.5</v>
      </c>
    </row>
    <row r="35" spans="1:2" x14ac:dyDescent="0.2">
      <c r="A35" s="12" t="s">
        <v>168</v>
      </c>
      <c r="B35" s="15">
        <v>46</v>
      </c>
    </row>
    <row r="36" spans="1:2" x14ac:dyDescent="0.2">
      <c r="A36" s="12" t="s">
        <v>153</v>
      </c>
      <c r="B36" s="15">
        <v>46</v>
      </c>
    </row>
    <row r="37" spans="1:2" x14ac:dyDescent="0.2">
      <c r="A37" s="12" t="s">
        <v>160</v>
      </c>
      <c r="B37" s="15">
        <v>45.5</v>
      </c>
    </row>
    <row r="38" spans="1:2" x14ac:dyDescent="0.2">
      <c r="A38" s="12" t="s">
        <v>202</v>
      </c>
      <c r="B38" s="15">
        <v>45.5</v>
      </c>
    </row>
    <row r="39" spans="1:2" x14ac:dyDescent="0.2">
      <c r="A39" s="12" t="s">
        <v>203</v>
      </c>
      <c r="B39" s="15">
        <v>45</v>
      </c>
    </row>
    <row r="40" spans="1:2" x14ac:dyDescent="0.2">
      <c r="A40" s="12" t="s">
        <v>215</v>
      </c>
      <c r="B40" s="15">
        <v>44.5</v>
      </c>
    </row>
    <row r="41" spans="1:2" x14ac:dyDescent="0.2">
      <c r="A41" s="12" t="s">
        <v>163</v>
      </c>
      <c r="B41" s="15">
        <v>44.5</v>
      </c>
    </row>
    <row r="42" spans="1:2" x14ac:dyDescent="0.2">
      <c r="A42" s="12" t="s">
        <v>172</v>
      </c>
      <c r="B42" s="15">
        <v>44.5</v>
      </c>
    </row>
    <row r="43" spans="1:2" x14ac:dyDescent="0.2">
      <c r="A43" s="12" t="s">
        <v>193</v>
      </c>
      <c r="B43" s="15">
        <v>43</v>
      </c>
    </row>
    <row r="44" spans="1:2" x14ac:dyDescent="0.2">
      <c r="A44" s="12" t="s">
        <v>175</v>
      </c>
      <c r="B44" s="15">
        <v>42.5</v>
      </c>
    </row>
    <row r="45" spans="1:2" x14ac:dyDescent="0.2">
      <c r="A45" s="12" t="s">
        <v>182</v>
      </c>
      <c r="B45" s="15">
        <v>42.5</v>
      </c>
    </row>
    <row r="46" spans="1:2" x14ac:dyDescent="0.2">
      <c r="A46" s="12" t="s">
        <v>130</v>
      </c>
      <c r="B46" s="15">
        <v>42.5</v>
      </c>
    </row>
    <row r="47" spans="1:2" x14ac:dyDescent="0.2">
      <c r="A47" s="12" t="s">
        <v>198</v>
      </c>
      <c r="B47" s="15">
        <v>42</v>
      </c>
    </row>
    <row r="48" spans="1:2" x14ac:dyDescent="0.2">
      <c r="A48" s="12" t="s">
        <v>213</v>
      </c>
      <c r="B48" s="15">
        <v>41</v>
      </c>
    </row>
    <row r="49" spans="1:2" x14ac:dyDescent="0.2">
      <c r="A49" s="12" t="s">
        <v>140</v>
      </c>
      <c r="B49" s="15">
        <v>38.5</v>
      </c>
    </row>
    <row r="50" spans="1:2" x14ac:dyDescent="0.2">
      <c r="A50" s="12" t="s">
        <v>245</v>
      </c>
      <c r="B50" s="15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6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6" t="s">
        <v>247</v>
      </c>
      <c r="C1" s="16" t="s">
        <v>248</v>
      </c>
    </row>
    <row r="2" spans="1:3" x14ac:dyDescent="0.2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128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131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132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120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2026-06-18T10:03:27Z</dcterms:modified>
</cp:coreProperties>
</file>