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314" documentId="11_77D7F8CFEFB5B4E2EEC1568F97B647076E5C66F0" xr6:coauthVersionLast="47" xr6:coauthVersionMax="47" xr10:uidLastSave="{591B57FF-C5CC-F64C-B8C7-B30F9841C52E}"/>
  <bookViews>
    <workbookView xWindow="2868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externalReferences>
    <externalReference r:id="rId5"/>
  </externalReferences>
  <definedNames>
    <definedName name="_xlnm._FilterDatabase" localSheetId="2" hidden="1">Gràfics!$A$1:$B$49</definedName>
    <definedName name="_xlnm._FilterDatabase" localSheetId="0" hidden="1">'Resultats Reals'!$N$1:$O$14</definedName>
  </definedNames>
  <calcPr calcId="191028"/>
  <pivotCaches>
    <pivotCache cacheId="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46" i="2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BU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BU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8" i="2"/>
  <c r="CD8" i="2"/>
  <c r="CC8" i="2"/>
  <c r="CB8" i="2"/>
  <c r="CA8" i="2"/>
  <c r="BZ8" i="2"/>
  <c r="BY8" i="2"/>
  <c r="BX8" i="2"/>
  <c r="CE7" i="2"/>
  <c r="CD7" i="2"/>
  <c r="CC7" i="2"/>
  <c r="CB7" i="2"/>
  <c r="CA7" i="2"/>
  <c r="BZ7" i="2"/>
  <c r="BY7" i="2"/>
  <c r="BX7" i="2"/>
  <c r="BW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U2" i="2"/>
  <c r="BV31" i="2"/>
  <c r="BW31" i="2"/>
  <c r="BW2" i="2"/>
  <c r="BU25" i="2"/>
  <c r="BV25" i="2"/>
  <c r="BV2" i="2"/>
  <c r="BV28" i="2"/>
  <c r="BW17" i="2"/>
  <c r="BU22" i="2"/>
  <c r="BW40" i="2"/>
  <c r="BV9" i="2"/>
  <c r="BU6" i="2"/>
  <c r="BU19" i="2"/>
  <c r="BU37" i="2"/>
  <c r="BV16" i="2"/>
  <c r="BV49" i="2"/>
  <c r="BW16" i="2"/>
  <c r="BW29" i="2"/>
  <c r="BW43" i="2"/>
  <c r="BU3" i="2"/>
  <c r="BU13" i="2"/>
  <c r="BW13" i="2"/>
  <c r="BU49" i="2"/>
  <c r="BU21" i="2"/>
  <c r="BW24" i="2"/>
  <c r="BV8" i="2"/>
  <c r="BW33" i="2"/>
  <c r="BU39" i="2"/>
  <c r="BU11" i="2"/>
  <c r="BV36" i="2"/>
  <c r="BU12" i="2"/>
  <c r="BV24" i="2"/>
  <c r="BW12" i="2"/>
  <c r="BU42" i="2"/>
  <c r="BV27" i="2"/>
  <c r="BU36" i="2"/>
  <c r="BV42" i="2"/>
  <c r="BW8" i="2"/>
  <c r="BU4" i="2"/>
  <c r="BV11" i="2"/>
  <c r="BW9" i="2"/>
  <c r="BV12" i="2"/>
  <c r="BU5" i="2"/>
  <c r="BV21" i="2"/>
  <c r="BU27" i="2"/>
  <c r="BV4" i="2"/>
  <c r="BU7" i="2"/>
  <c r="BU20" i="2"/>
  <c r="BU23" i="2"/>
  <c r="BU35" i="2"/>
  <c r="BU44" i="2"/>
  <c r="BV47" i="2"/>
  <c r="BV45" i="2"/>
  <c r="BW4" i="2"/>
  <c r="BV7" i="2"/>
  <c r="CF7" i="2"/>
  <c r="BW14" i="2"/>
  <c r="BU17" i="2"/>
  <c r="BV26" i="2"/>
  <c r="BV35" i="2"/>
  <c r="BW41" i="2"/>
  <c r="BW47" i="2"/>
  <c r="BU45" i="2"/>
  <c r="BW32" i="2"/>
  <c r="BW35" i="2"/>
  <c r="BV38" i="2"/>
  <c r="BV3" i="2"/>
  <c r="BV10" i="2"/>
  <c r="BW3" i="2"/>
  <c r="BU16" i="2"/>
  <c r="CF16" i="2"/>
  <c r="BV46" i="2"/>
  <c r="BW38" i="2"/>
  <c r="BW45" i="2"/>
  <c r="BV6" i="2"/>
  <c r="BW11" i="2"/>
  <c r="BW15" i="2"/>
  <c r="BV19" i="2"/>
  <c r="BW23" i="2"/>
  <c r="BW27" i="2"/>
  <c r="BU30" i="2"/>
  <c r="BU41" i="2"/>
  <c r="BW6" i="2"/>
  <c r="BU10" i="2"/>
  <c r="BW19" i="2"/>
  <c r="CF19" i="2"/>
  <c r="BU26" i="2"/>
  <c r="BW26" i="2"/>
  <c r="CF26" i="2"/>
  <c r="BV30" i="2"/>
  <c r="BV41" i="2"/>
  <c r="BW10" i="2"/>
  <c r="BU14" i="2"/>
  <c r="BV18" i="2"/>
  <c r="BV22" i="2"/>
  <c r="BU33" i="2"/>
  <c r="BW37" i="2"/>
  <c r="BU40" i="2"/>
  <c r="BV44" i="2"/>
  <c r="BV5" i="2"/>
  <c r="BW5" i="2"/>
  <c r="BU9" i="2"/>
  <c r="CF9" i="2"/>
  <c r="BV14" i="2"/>
  <c r="BW18" i="2"/>
  <c r="BW22" i="2"/>
  <c r="BV33" i="2"/>
  <c r="BV40" i="2"/>
  <c r="BU47" i="2"/>
  <c r="BU8" i="2"/>
  <c r="BV13" i="2"/>
  <c r="CF13" i="2"/>
  <c r="BV17" i="2"/>
  <c r="BW21" i="2"/>
  <c r="BV32" i="2"/>
  <c r="BW36" i="2"/>
  <c r="CF2" i="2"/>
  <c r="BW30" i="2"/>
  <c r="BU34" i="2"/>
  <c r="BV39" i="2"/>
  <c r="BW44" i="2"/>
  <c r="BU48" i="2"/>
  <c r="BW49" i="2"/>
  <c r="BU15" i="2"/>
  <c r="BV20" i="2"/>
  <c r="BW25" i="2"/>
  <c r="CF25" i="2"/>
  <c r="BU29" i="2"/>
  <c r="BV34" i="2"/>
  <c r="BW39" i="2"/>
  <c r="BU43" i="2"/>
  <c r="BV48" i="2"/>
  <c r="BV15" i="2"/>
  <c r="BW20" i="2"/>
  <c r="BU24" i="2"/>
  <c r="BV29" i="2"/>
  <c r="BW34" i="2"/>
  <c r="BU38" i="2"/>
  <c r="BV43" i="2"/>
  <c r="BW48" i="2"/>
  <c r="BU18" i="2"/>
  <c r="BV23" i="2"/>
  <c r="BW28" i="2"/>
  <c r="CF28" i="2"/>
  <c r="BU32" i="2"/>
  <c r="BV37" i="2"/>
  <c r="BW42" i="2"/>
  <c r="CF42" i="2"/>
  <c r="BU46" i="2"/>
  <c r="CF36" i="2"/>
  <c r="CF35" i="2"/>
  <c r="CF31" i="2"/>
  <c r="CF32" i="2"/>
  <c r="CF3" i="2"/>
  <c r="CF4" i="2"/>
  <c r="CF6" i="2"/>
  <c r="CF11" i="2"/>
  <c r="CF17" i="2"/>
  <c r="CF12" i="2"/>
  <c r="CF45" i="2"/>
  <c r="CF21" i="2"/>
  <c r="CF27" i="2"/>
  <c r="CF49" i="2"/>
  <c r="CF8" i="2"/>
  <c r="CF38" i="2"/>
  <c r="CF47" i="2"/>
  <c r="CF44" i="2"/>
  <c r="CF24" i="2"/>
  <c r="CF46" i="2"/>
  <c r="CF37" i="2"/>
  <c r="CF30" i="2"/>
  <c r="CF41" i="2"/>
  <c r="CF23" i="2"/>
  <c r="CF5" i="2"/>
  <c r="CF10" i="2"/>
  <c r="CF33" i="2"/>
  <c r="CF22" i="2"/>
  <c r="CF40" i="2"/>
  <c r="CF14" i="2"/>
  <c r="CF18" i="2"/>
  <c r="CF39" i="2"/>
  <c r="CF20" i="2"/>
  <c r="CF43" i="2"/>
  <c r="CF15" i="2"/>
  <c r="CF29" i="2"/>
  <c r="CF48" i="2"/>
  <c r="CF3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<sst xmlns="http://schemas.openxmlformats.org/spreadsheetml/2006/main" count="3780" uniqueCount="249">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</sst>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0" fillId="0" borderId="0" xfId="0" applyNumberFormat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ulla2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ulla2"/>
    </sheetNames>
    <sheetDataSet>
      <sheetData sheetId="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L1" workbookViewId="0">
      <selection activeCell="E33" sqref="E33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4.52734375" bestFit="1" customWidth="1"/>
    <col min="6" max="6" width="8.203125" bestFit="1" customWidth="1"/>
    <col min="7" max="8" width="7.93359375" bestFit="1" customWidth="1"/>
    <col min="9" max="9" width="10.492187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">
      <c r="A2" s="2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">
      <c r="A3" s="2" t="s">
        <v>227</v>
      </c>
      <c r="B3" s="2" t="s">
        <v>230</v>
      </c>
      <c r="C3" s="3" t="s">
        <v>98</v>
      </c>
      <c r="E3" s="14" t="str">
        <f>+C3</f>
        <v>Corea del Sud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">
      <c r="A4" s="2" t="s">
        <v>227</v>
      </c>
      <c r="B4" s="2" t="s">
        <v>231</v>
      </c>
      <c r="C4" s="17" t="s">
        <v>110</v>
      </c>
      <c r="E4" s="14" t="str">
        <f>+C5</f>
        <v>Canadà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">
      <c r="A5" s="2" t="s">
        <v>232</v>
      </c>
      <c r="B5" s="2" t="s">
        <v>228</v>
      </c>
      <c r="C5" s="3" t="s">
        <v>99</v>
      </c>
      <c r="E5" s="14" t="str">
        <f>+C6</f>
        <v>Suïssa</v>
      </c>
      <c r="F5" s="10" t="s">
        <v>229</v>
      </c>
      <c r="G5" s="10" t="s">
        <v>229</v>
      </c>
      <c r="H5" s="10" t="s">
        <v>229</v>
      </c>
      <c r="N5" t="s">
        <v>155</v>
      </c>
      <c r="O5" s="3">
        <v>2</v>
      </c>
    </row>
    <row r="6" spans="1:15" x14ac:dyDescent="0.2">
      <c r="A6" s="2" t="s">
        <v>232</v>
      </c>
      <c r="B6" s="2" t="s">
        <v>230</v>
      </c>
      <c r="C6" s="3" t="s">
        <v>87</v>
      </c>
      <c r="E6" s="14" t="str">
        <f>+C8</f>
        <v>Brasil</v>
      </c>
      <c r="F6" s="10" t="s">
        <v>229</v>
      </c>
      <c r="G6" s="10" t="s">
        <v>229</v>
      </c>
      <c r="N6" t="s">
        <v>167</v>
      </c>
      <c r="O6" s="3">
        <v>2</v>
      </c>
    </row>
    <row r="7" spans="1:15" x14ac:dyDescent="0.2">
      <c r="A7" s="2" t="s">
        <v>232</v>
      </c>
      <c r="B7" s="2" t="s">
        <v>231</v>
      </c>
      <c r="C7" s="17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">
      <c r="A8" s="2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">
      <c r="A9" s="2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">
      <c r="A10" s="2" t="s">
        <v>233</v>
      </c>
      <c r="B10" s="2" t="s">
        <v>231</v>
      </c>
      <c r="C10" s="17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">
      <c r="A11" s="2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">
      <c r="A12" s="2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">
      <c r="A13" s="2" t="s">
        <v>234</v>
      </c>
      <c r="B13" s="2" t="s">
        <v>231</v>
      </c>
      <c r="C13" s="17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">
      <c r="A14" s="2" t="s">
        <v>235</v>
      </c>
      <c r="B14" s="2" t="s">
        <v>228</v>
      </c>
      <c r="C14" s="3" t="s">
        <v>90</v>
      </c>
      <c r="E14" s="14" t="str">
        <f>+C20</f>
        <v>Egipte</v>
      </c>
      <c r="F14" s="10" t="s">
        <v>229</v>
      </c>
      <c r="N14" t="s">
        <v>201</v>
      </c>
      <c r="O14" s="3">
        <v>0</v>
      </c>
    </row>
    <row r="15" spans="1:15" x14ac:dyDescent="0.2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">
      <c r="A16" s="2" t="s">
        <v>235</v>
      </c>
      <c r="B16" s="2" t="s">
        <v>231</v>
      </c>
      <c r="C16" s="17" t="s">
        <v>102</v>
      </c>
      <c r="E16" s="14" t="str">
        <f>+C23</f>
        <v>Espanya</v>
      </c>
      <c r="F16" s="10" t="s">
        <v>229</v>
      </c>
    </row>
    <row r="17" spans="1:6" x14ac:dyDescent="0.2">
      <c r="A17" s="2" t="s">
        <v>236</v>
      </c>
      <c r="B17" s="2" t="s">
        <v>228</v>
      </c>
      <c r="C17" s="3" t="s">
        <v>91</v>
      </c>
      <c r="E17" s="14" t="str">
        <f>+C24</f>
        <v>Uruguai</v>
      </c>
      <c r="F17" s="10" t="s">
        <v>229</v>
      </c>
    </row>
    <row r="18" spans="1:6" x14ac:dyDescent="0.2">
      <c r="A18" s="2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">
      <c r="A19" s="2" t="s">
        <v>236</v>
      </c>
      <c r="B19" s="2" t="s">
        <v>231</v>
      </c>
      <c r="C19" s="17" t="s">
        <v>103</v>
      </c>
      <c r="E19" s="14" t="str">
        <f>+C27</f>
        <v>Noruega</v>
      </c>
    </row>
    <row r="20" spans="1:6" x14ac:dyDescent="0.2">
      <c r="A20" s="2" t="s">
        <v>237</v>
      </c>
      <c r="B20" s="2" t="s">
        <v>228</v>
      </c>
      <c r="C20" s="3" t="s">
        <v>104</v>
      </c>
      <c r="E20" s="14" t="str">
        <f>+C29</f>
        <v>Argentina</v>
      </c>
    </row>
    <row r="21" spans="1:6" x14ac:dyDescent="0.2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">
      <c r="A22" s="2" t="s">
        <v>237</v>
      </c>
      <c r="B22" s="2" t="s">
        <v>231</v>
      </c>
      <c r="C22" s="17" t="s">
        <v>92</v>
      </c>
      <c r="E22" s="14" t="str">
        <f>+C32</f>
        <v>Colòmbia</v>
      </c>
    </row>
    <row r="23" spans="1:6" x14ac:dyDescent="0.2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">
      <c r="A24" s="2" t="s">
        <v>238</v>
      </c>
      <c r="B24" s="2" t="s">
        <v>230</v>
      </c>
      <c r="C24" s="3" t="s">
        <v>105</v>
      </c>
      <c r="E24" s="14" t="str">
        <f>+C35</f>
        <v>Anglaterra</v>
      </c>
    </row>
    <row r="25" spans="1:6" x14ac:dyDescent="0.2">
      <c r="A25" s="2" t="s">
        <v>238</v>
      </c>
      <c r="B25" s="2" t="s">
        <v>231</v>
      </c>
      <c r="C25" s="17" t="s">
        <v>143</v>
      </c>
      <c r="E25" s="14" t="str">
        <f>+C36</f>
        <v>Ghana</v>
      </c>
    </row>
    <row r="26" spans="1:6" x14ac:dyDescent="0.2">
      <c r="A26" s="2" t="s">
        <v>239</v>
      </c>
      <c r="B26" s="2" t="s">
        <v>228</v>
      </c>
      <c r="C26" s="3" t="s">
        <v>94</v>
      </c>
      <c r="E26" s="10" t="s">
        <v>103</v>
      </c>
      <c r="F26" s="3"/>
    </row>
    <row r="27" spans="1:6" x14ac:dyDescent="0.2">
      <c r="A27" s="2" t="s">
        <v>239</v>
      </c>
      <c r="B27" s="2" t="s">
        <v>230</v>
      </c>
      <c r="C27" s="3" t="s">
        <v>118</v>
      </c>
      <c r="E27" s="10" t="s">
        <v>112</v>
      </c>
    </row>
    <row r="28" spans="1:6" x14ac:dyDescent="0.2">
      <c r="A28" s="2" t="s">
        <v>239</v>
      </c>
      <c r="B28" s="2" t="s">
        <v>231</v>
      </c>
      <c r="C28" s="17" t="s">
        <v>106</v>
      </c>
      <c r="E28" s="10" t="s">
        <v>113</v>
      </c>
    </row>
    <row r="29" spans="1:6" x14ac:dyDescent="0.2">
      <c r="A29" s="2" t="s">
        <v>240</v>
      </c>
      <c r="B29" s="2" t="s">
        <v>228</v>
      </c>
      <c r="C29" s="3" t="s">
        <v>95</v>
      </c>
      <c r="E29" s="10" t="s">
        <v>143</v>
      </c>
    </row>
    <row r="30" spans="1:6" x14ac:dyDescent="0.2">
      <c r="A30" s="2" t="s">
        <v>240</v>
      </c>
      <c r="B30" s="2" t="s">
        <v>230</v>
      </c>
      <c r="C30" s="13" t="s">
        <v>107</v>
      </c>
      <c r="E30" s="10" t="s">
        <v>92</v>
      </c>
    </row>
    <row r="31" spans="1:6" x14ac:dyDescent="0.2">
      <c r="A31" s="2" t="s">
        <v>240</v>
      </c>
      <c r="B31" s="2" t="s">
        <v>231</v>
      </c>
      <c r="C31" s="18" t="s">
        <v>119</v>
      </c>
      <c r="E31" s="10" t="s">
        <v>119</v>
      </c>
    </row>
    <row r="32" spans="1:6" x14ac:dyDescent="0.2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">
      <c r="A33" s="2" t="s">
        <v>241</v>
      </c>
      <c r="B33" s="2" t="s">
        <v>230</v>
      </c>
      <c r="C33" s="3" t="s">
        <v>96</v>
      </c>
      <c r="E33" s="10" t="s">
        <v>109</v>
      </c>
    </row>
    <row r="34" spans="1:5" x14ac:dyDescent="0.2">
      <c r="A34" s="2" t="s">
        <v>241</v>
      </c>
      <c r="B34" s="2" t="s">
        <v>231</v>
      </c>
      <c r="C34" s="17" t="s">
        <v>128</v>
      </c>
    </row>
    <row r="35" spans="1:5" x14ac:dyDescent="0.2">
      <c r="A35" s="2" t="s">
        <v>242</v>
      </c>
      <c r="B35" s="2" t="s">
        <v>228</v>
      </c>
      <c r="C35" s="3" t="s">
        <v>97</v>
      </c>
    </row>
    <row r="36" spans="1:5" x14ac:dyDescent="0.2">
      <c r="A36" s="2" t="s">
        <v>242</v>
      </c>
      <c r="B36" s="2" t="s">
        <v>230</v>
      </c>
      <c r="C36" s="3" t="s">
        <v>121</v>
      </c>
    </row>
    <row r="37" spans="1:5" x14ac:dyDescent="0.2">
      <c r="A37" s="2" t="s">
        <v>242</v>
      </c>
      <c r="B37" s="2" t="s">
        <v>231</v>
      </c>
      <c r="C37" s="17" t="s">
        <v>109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33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34" zoomScale="115" zoomScaleNormal="115" workbookViewId="0">
      <selection activeCell="E2" sqref="E2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21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13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13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2</v>
      </c>
      <c r="CE2">
        <f>IF(BR2='Resultats Reals'!$L$2,5,0)</f>
        <v>0</v>
      </c>
      <c r="CF2" s="7">
        <f t="shared" ref="CF2:CF49" si="0">SUM(BU2:CE2)</f>
        <v>49</v>
      </c>
    </row>
    <row r="3" spans="1:84" x14ac:dyDescent="0.2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53</v>
      </c>
    </row>
    <row r="4" spans="1:84" x14ac:dyDescent="0.2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14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9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44</v>
      </c>
    </row>
    <row r="5" spans="1:84" x14ac:dyDescent="0.2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12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57</v>
      </c>
    </row>
    <row r="6" spans="1:84" x14ac:dyDescent="0.2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19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11.5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50.5</v>
      </c>
    </row>
    <row r="7" spans="1:84" ht="15.75" customHeight="1" x14ac:dyDescent="0.2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12.5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53.5</v>
      </c>
    </row>
    <row r="8" spans="1:84" x14ac:dyDescent="0.2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21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12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6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39</v>
      </c>
    </row>
    <row r="9" spans="1:84" x14ac:dyDescent="0.2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16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15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13.5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48.5</v>
      </c>
    </row>
    <row r="10" spans="1:84" x14ac:dyDescent="0.2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20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13.5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54.5</v>
      </c>
    </row>
    <row r="11" spans="1:84" x14ac:dyDescent="0.2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19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7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4</v>
      </c>
      <c r="CE11">
        <f>IF(BR11='Resultats Reals'!$L$2,5,0)</f>
        <v>0</v>
      </c>
      <c r="CF11" s="7">
        <f t="shared" si="0"/>
        <v>47</v>
      </c>
    </row>
    <row r="12" spans="1:84" x14ac:dyDescent="0.2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17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12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47</v>
      </c>
    </row>
    <row r="13" spans="1:84" x14ac:dyDescent="0.2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19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50</v>
      </c>
    </row>
    <row r="14" spans="1:84" x14ac:dyDescent="0.2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13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48</v>
      </c>
    </row>
    <row r="15" spans="1:84" x14ac:dyDescent="0.2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18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13.5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51.5</v>
      </c>
    </row>
    <row r="16" spans="1:84" x14ac:dyDescent="0.2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22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11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49</v>
      </c>
    </row>
    <row r="17" spans="1:84" x14ac:dyDescent="0.2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20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11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45</v>
      </c>
    </row>
    <row r="18" spans="1:84" x14ac:dyDescent="0.2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19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8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4</v>
      </c>
      <c r="CE18">
        <f>IF(BR18='Resultats Reals'!$L$2,5,0)</f>
        <v>0</v>
      </c>
      <c r="CF18" s="7">
        <f t="shared" si="0"/>
        <v>45</v>
      </c>
    </row>
    <row r="19" spans="1:84" x14ac:dyDescent="0.2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20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11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2</v>
      </c>
      <c r="CE19">
        <f>IF(BR19='Resultats Reals'!$L$2,5,0)</f>
        <v>0</v>
      </c>
      <c r="CF19" s="7">
        <f t="shared" si="0"/>
        <v>48</v>
      </c>
    </row>
    <row r="20" spans="1:84" x14ac:dyDescent="0.2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19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13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11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4</v>
      </c>
      <c r="CE20">
        <f>IF(BR20='Resultats Reals'!$L$2,5,0)</f>
        <v>0</v>
      </c>
      <c r="CF20" s="7">
        <f t="shared" si="0"/>
        <v>47</v>
      </c>
    </row>
    <row r="21" spans="1:84" x14ac:dyDescent="0.2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19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51</v>
      </c>
    </row>
    <row r="22" spans="1:84" x14ac:dyDescent="0.2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20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10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4</v>
      </c>
      <c r="CE22">
        <f>IF(BR22='Resultats Reals'!$L$2,5,0)</f>
        <v>0</v>
      </c>
      <c r="CF22" s="7">
        <f t="shared" si="0"/>
        <v>48</v>
      </c>
    </row>
    <row r="23" spans="1:84" x14ac:dyDescent="0.2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14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10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46</v>
      </c>
    </row>
    <row r="24" spans="1:84" x14ac:dyDescent="0.2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17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57.5</v>
      </c>
    </row>
    <row r="25" spans="1:84" x14ac:dyDescent="0.2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20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14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10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44</v>
      </c>
    </row>
    <row r="26" spans="1:84" x14ac:dyDescent="0.2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20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16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8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48</v>
      </c>
    </row>
    <row r="27" spans="1:84" x14ac:dyDescent="0.2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17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16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13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2</v>
      </c>
      <c r="CE27">
        <f>IF(BR27='Resultats Reals'!$L$2,5,0)</f>
        <v>0</v>
      </c>
      <c r="CF27" s="7">
        <f t="shared" si="0"/>
        <v>48</v>
      </c>
    </row>
    <row r="28" spans="1:84" x14ac:dyDescent="0.2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18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48</v>
      </c>
    </row>
    <row r="29" spans="1:84" x14ac:dyDescent="0.2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22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10.5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48.5</v>
      </c>
    </row>
    <row r="30" spans="1:84" x14ac:dyDescent="0.2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18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13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11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2</v>
      </c>
      <c r="CE30">
        <f>IF(BR30='Resultats Reals'!$L$2,5,0)</f>
        <v>0</v>
      </c>
      <c r="CF30" s="7">
        <f t="shared" si="0"/>
        <v>44</v>
      </c>
    </row>
    <row r="31" spans="1:84" x14ac:dyDescent="0.2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12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51</v>
      </c>
    </row>
    <row r="32" spans="1:84" x14ac:dyDescent="0.2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22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16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11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53</v>
      </c>
    </row>
    <row r="33" spans="1:84" x14ac:dyDescent="0.2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13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49</v>
      </c>
    </row>
    <row r="34" spans="1:84" x14ac:dyDescent="0.2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21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15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52</v>
      </c>
    </row>
    <row r="35" spans="1:84" x14ac:dyDescent="0.2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18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15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50</v>
      </c>
    </row>
    <row r="36" spans="1:84" x14ac:dyDescent="0.2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15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48</v>
      </c>
    </row>
    <row r="37" spans="1:84" x14ac:dyDescent="0.2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18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44</v>
      </c>
    </row>
    <row r="38" spans="1:84" x14ac:dyDescent="0.2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12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4</v>
      </c>
      <c r="CE38">
        <f>IF(BR38='Resultats Reals'!$L$2,5,0)</f>
        <v>0</v>
      </c>
      <c r="CF38" s="7">
        <f t="shared" si="0"/>
        <v>50</v>
      </c>
    </row>
    <row r="39" spans="1:84" x14ac:dyDescent="0.2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18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14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12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44</v>
      </c>
    </row>
    <row r="40" spans="1:84" x14ac:dyDescent="0.2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18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13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12.5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47.5</v>
      </c>
    </row>
    <row r="41" spans="1:84" x14ac:dyDescent="0.2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21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9.5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46.5</v>
      </c>
    </row>
    <row r="42" spans="1:84" x14ac:dyDescent="0.2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18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11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55</v>
      </c>
    </row>
    <row r="43" spans="1:84" x14ac:dyDescent="0.2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19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13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49</v>
      </c>
    </row>
    <row r="44" spans="1:84" x14ac:dyDescent="0.2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20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17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12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4</v>
      </c>
      <c r="CE44">
        <f>IF(BR44='Resultats Reals'!$L$2,5,0)</f>
        <v>0</v>
      </c>
      <c r="CF44" s="7">
        <f t="shared" si="0"/>
        <v>53</v>
      </c>
    </row>
    <row r="45" spans="1:84" x14ac:dyDescent="0.2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50</v>
      </c>
    </row>
    <row r="46" spans="1:84" x14ac:dyDescent="0.2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21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52.5</v>
      </c>
    </row>
    <row r="47" spans="1:84" x14ac:dyDescent="0.2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18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12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42</v>
      </c>
    </row>
    <row r="48" spans="1:84" x14ac:dyDescent="0.2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19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12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56</v>
      </c>
    </row>
    <row r="49" spans="1:84" x14ac:dyDescent="0.2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16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8.5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243</v>
      </c>
      <c r="B1" t="s">
        <v>244</v>
      </c>
    </row>
    <row r="2" spans="1:2" x14ac:dyDescent="0.2">
      <c r="A2" s="12" t="s">
        <v>174</v>
      </c>
      <c r="B2" s="15">
        <v>56</v>
      </c>
    </row>
    <row r="3" spans="1:2" x14ac:dyDescent="0.2">
      <c r="A3" s="12" t="s">
        <v>135</v>
      </c>
      <c r="B3" s="15">
        <v>56</v>
      </c>
    </row>
    <row r="4" spans="1:2" x14ac:dyDescent="0.2">
      <c r="A4" s="12" t="s">
        <v>205</v>
      </c>
      <c r="B4" s="15">
        <v>54.5</v>
      </c>
    </row>
    <row r="5" spans="1:2" x14ac:dyDescent="0.2">
      <c r="A5" s="12" t="s">
        <v>150</v>
      </c>
      <c r="B5" s="15">
        <v>54</v>
      </c>
    </row>
    <row r="6" spans="1:2" x14ac:dyDescent="0.2">
      <c r="A6" s="12" t="s">
        <v>208</v>
      </c>
      <c r="B6" s="15">
        <v>53.5</v>
      </c>
    </row>
    <row r="7" spans="1:2" x14ac:dyDescent="0.2">
      <c r="A7" s="12" t="s">
        <v>214</v>
      </c>
      <c r="B7" s="15">
        <v>53.5</v>
      </c>
    </row>
    <row r="8" spans="1:2" x14ac:dyDescent="0.2">
      <c r="A8" s="12" t="s">
        <v>210</v>
      </c>
      <c r="B8" s="15">
        <v>52</v>
      </c>
    </row>
    <row r="9" spans="1:2" x14ac:dyDescent="0.2">
      <c r="A9" s="12" t="s">
        <v>124</v>
      </c>
      <c r="B9" s="15">
        <v>52</v>
      </c>
    </row>
    <row r="10" spans="1:2" x14ac:dyDescent="0.2">
      <c r="A10" s="12" t="s">
        <v>185</v>
      </c>
      <c r="B10" s="15">
        <v>51.5</v>
      </c>
    </row>
    <row r="11" spans="1:2" x14ac:dyDescent="0.2">
      <c r="A11" s="12" t="s">
        <v>138</v>
      </c>
      <c r="B11" s="15">
        <v>51</v>
      </c>
    </row>
    <row r="12" spans="1:2" x14ac:dyDescent="0.2">
      <c r="A12" s="12" t="s">
        <v>184</v>
      </c>
      <c r="B12" s="15">
        <v>50.5</v>
      </c>
    </row>
    <row r="13" spans="1:2" x14ac:dyDescent="0.2">
      <c r="A13" s="12" t="s">
        <v>169</v>
      </c>
      <c r="B13" s="15">
        <v>50</v>
      </c>
    </row>
    <row r="14" spans="1:2" x14ac:dyDescent="0.2">
      <c r="A14" s="12" t="s">
        <v>189</v>
      </c>
      <c r="B14" s="15">
        <v>50</v>
      </c>
    </row>
    <row r="15" spans="1:2" x14ac:dyDescent="0.2">
      <c r="A15" s="12" t="s">
        <v>157</v>
      </c>
      <c r="B15" s="15">
        <v>49.5</v>
      </c>
    </row>
    <row r="16" spans="1:2" x14ac:dyDescent="0.2">
      <c r="A16" s="12" t="s">
        <v>191</v>
      </c>
      <c r="B16" s="15">
        <v>49.5</v>
      </c>
    </row>
    <row r="17" spans="1:2" x14ac:dyDescent="0.2">
      <c r="A17" s="12" t="s">
        <v>196</v>
      </c>
      <c r="B17" s="15">
        <v>49.5</v>
      </c>
    </row>
    <row r="18" spans="1:2" x14ac:dyDescent="0.2">
      <c r="A18" s="12" t="s">
        <v>137</v>
      </c>
      <c r="B18" s="15">
        <v>49.5</v>
      </c>
    </row>
    <row r="19" spans="1:2" x14ac:dyDescent="0.2">
      <c r="A19" s="12" t="s">
        <v>209</v>
      </c>
      <c r="B19" s="15">
        <v>49</v>
      </c>
    </row>
    <row r="20" spans="1:2" x14ac:dyDescent="0.2">
      <c r="A20" s="12" t="s">
        <v>154</v>
      </c>
      <c r="B20" s="15">
        <v>48.5</v>
      </c>
    </row>
    <row r="21" spans="1:2" x14ac:dyDescent="0.2">
      <c r="A21" s="12" t="s">
        <v>206</v>
      </c>
      <c r="B21" s="15">
        <v>48.5</v>
      </c>
    </row>
    <row r="22" spans="1:2" x14ac:dyDescent="0.2">
      <c r="A22" s="12" t="s">
        <v>176</v>
      </c>
      <c r="B22" s="15">
        <v>48</v>
      </c>
    </row>
    <row r="23" spans="1:2" x14ac:dyDescent="0.2">
      <c r="A23" s="12" t="s">
        <v>187</v>
      </c>
      <c r="B23" s="15">
        <v>48</v>
      </c>
    </row>
    <row r="24" spans="1:2" x14ac:dyDescent="0.2">
      <c r="A24" s="12" t="s">
        <v>181</v>
      </c>
      <c r="B24" s="15">
        <v>48</v>
      </c>
    </row>
    <row r="25" spans="1:2" x14ac:dyDescent="0.2">
      <c r="A25" s="12" t="s">
        <v>152</v>
      </c>
      <c r="B25" s="15">
        <v>48</v>
      </c>
    </row>
    <row r="26" spans="1:2" x14ac:dyDescent="0.2">
      <c r="A26" s="12" t="s">
        <v>192</v>
      </c>
      <c r="B26" s="15">
        <v>48</v>
      </c>
    </row>
    <row r="27" spans="1:2" x14ac:dyDescent="0.2">
      <c r="A27" s="12" t="s">
        <v>159</v>
      </c>
      <c r="B27" s="15">
        <v>47.5</v>
      </c>
    </row>
    <row r="28" spans="1:2" x14ac:dyDescent="0.2">
      <c r="A28" s="12" t="s">
        <v>84</v>
      </c>
      <c r="B28" s="15">
        <v>47.5</v>
      </c>
    </row>
    <row r="29" spans="1:2" x14ac:dyDescent="0.2">
      <c r="A29" s="12" t="s">
        <v>147</v>
      </c>
      <c r="B29" s="15">
        <v>47.5</v>
      </c>
    </row>
    <row r="30" spans="1:2" x14ac:dyDescent="0.2">
      <c r="A30" s="12" t="s">
        <v>179</v>
      </c>
      <c r="B30" s="15">
        <v>47</v>
      </c>
    </row>
    <row r="31" spans="1:2" x14ac:dyDescent="0.2">
      <c r="A31" s="12" t="s">
        <v>178</v>
      </c>
      <c r="B31" s="15">
        <v>47</v>
      </c>
    </row>
    <row r="32" spans="1:2" x14ac:dyDescent="0.2">
      <c r="A32" s="12" t="s">
        <v>156</v>
      </c>
      <c r="B32" s="15">
        <v>46.5</v>
      </c>
    </row>
    <row r="33" spans="1:2" x14ac:dyDescent="0.2">
      <c r="A33" s="12" t="s">
        <v>166</v>
      </c>
      <c r="B33" s="15">
        <v>46.5</v>
      </c>
    </row>
    <row r="34" spans="1:2" x14ac:dyDescent="0.2">
      <c r="A34" s="12" t="s">
        <v>170</v>
      </c>
      <c r="B34" s="15">
        <v>46.5</v>
      </c>
    </row>
    <row r="35" spans="1:2" x14ac:dyDescent="0.2">
      <c r="A35" s="12" t="s">
        <v>168</v>
      </c>
      <c r="B35" s="15">
        <v>46</v>
      </c>
    </row>
    <row r="36" spans="1:2" x14ac:dyDescent="0.2">
      <c r="A36" s="12" t="s">
        <v>153</v>
      </c>
      <c r="B36" s="15">
        <v>46</v>
      </c>
    </row>
    <row r="37" spans="1:2" x14ac:dyDescent="0.2">
      <c r="A37" s="12" t="s">
        <v>160</v>
      </c>
      <c r="B37" s="15">
        <v>45.5</v>
      </c>
    </row>
    <row r="38" spans="1:2" x14ac:dyDescent="0.2">
      <c r="A38" s="12" t="s">
        <v>202</v>
      </c>
      <c r="B38" s="15">
        <v>45.5</v>
      </c>
    </row>
    <row r="39" spans="1:2" x14ac:dyDescent="0.2">
      <c r="A39" s="12" t="s">
        <v>203</v>
      </c>
      <c r="B39" s="15">
        <v>45</v>
      </c>
    </row>
    <row r="40" spans="1:2" x14ac:dyDescent="0.2">
      <c r="A40" s="12" t="s">
        <v>215</v>
      </c>
      <c r="B40" s="15">
        <v>44.5</v>
      </c>
    </row>
    <row r="41" spans="1:2" x14ac:dyDescent="0.2">
      <c r="A41" s="12" t="s">
        <v>163</v>
      </c>
      <c r="B41" s="15">
        <v>44.5</v>
      </c>
    </row>
    <row r="42" spans="1:2" x14ac:dyDescent="0.2">
      <c r="A42" s="12" t="s">
        <v>172</v>
      </c>
      <c r="B42" s="15">
        <v>44.5</v>
      </c>
    </row>
    <row r="43" spans="1:2" x14ac:dyDescent="0.2">
      <c r="A43" s="12" t="s">
        <v>193</v>
      </c>
      <c r="B43" s="15">
        <v>43</v>
      </c>
    </row>
    <row r="44" spans="1:2" x14ac:dyDescent="0.2">
      <c r="A44" s="12" t="s">
        <v>175</v>
      </c>
      <c r="B44" s="15">
        <v>42.5</v>
      </c>
    </row>
    <row r="45" spans="1:2" x14ac:dyDescent="0.2">
      <c r="A45" s="12" t="s">
        <v>182</v>
      </c>
      <c r="B45" s="15">
        <v>42.5</v>
      </c>
    </row>
    <row r="46" spans="1:2" x14ac:dyDescent="0.2">
      <c r="A46" s="12" t="s">
        <v>130</v>
      </c>
      <c r="B46" s="15">
        <v>42.5</v>
      </c>
    </row>
    <row r="47" spans="1:2" x14ac:dyDescent="0.2">
      <c r="A47" s="12" t="s">
        <v>198</v>
      </c>
      <c r="B47" s="15">
        <v>42</v>
      </c>
    </row>
    <row r="48" spans="1:2" x14ac:dyDescent="0.2">
      <c r="A48" s="12" t="s">
        <v>213</v>
      </c>
      <c r="B48" s="15">
        <v>41</v>
      </c>
    </row>
    <row r="49" spans="1:2" x14ac:dyDescent="0.2">
      <c r="A49" s="12" t="s">
        <v>140</v>
      </c>
      <c r="B49" s="15">
        <v>38.5</v>
      </c>
    </row>
    <row r="50" spans="1:2" x14ac:dyDescent="0.2">
      <c r="A50" s="12" t="s">
        <v>245</v>
      </c>
      <c r="B50" s="15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47"/>
  <sheetViews>
    <sheetView topLeftCell="A18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6" t="s">
        <v>247</v>
      </c>
      <c r="C1" s="16" t="s">
        <v>248</v>
      </c>
    </row>
    <row r="2" spans="1:3" x14ac:dyDescent="0.2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128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131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132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2026-06-18T10:03:27Z</dcterms:modified>
</cp:coreProperties>
</file>