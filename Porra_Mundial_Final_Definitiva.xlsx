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461" documentId="11_77D7F8CFEFB5B4E2EEC1568F97B647076E5C66F0" xr6:coauthVersionLast="47" xr6:coauthVersionMax="47" xr10:uidLastSave="{65ECEFB4-4AAD-4EE8-8E59-565D8FEAB6D2}"/>
  <bookViews>
    <workbookView xWindow="-120" yWindow="-120" windowWidth="29040" windowHeight="15720" activeTab="1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BU32" i="2" s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3" i="5" a="1"/>
  <c r="C2" i="5" a="1"/>
  <c r="C2" i="5" s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21" i="2"/>
  <c r="BU44" i="2"/>
  <c r="BU46" i="2"/>
  <c r="BV22" i="2"/>
  <c r="BV40" i="2"/>
  <c r="BW22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V38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B5" i="5"/>
  <c r="B4" i="5"/>
  <c r="C3" i="5"/>
  <c r="B3" i="5"/>
  <c r="B2" i="5"/>
  <c r="CF46" i="2" l="1"/>
  <c r="CF31" i="2"/>
  <c r="CF36" i="2"/>
  <c r="C5" i="5" a="1"/>
  <c r="C5" i="5" s="1"/>
  <c r="CF48" i="2"/>
  <c r="BU19" i="2"/>
  <c r="CF19" i="2" s="1"/>
  <c r="BW40" i="2"/>
  <c r="CF40" i="2" s="1"/>
  <c r="BV23" i="2"/>
  <c r="CF23" i="2" s="1"/>
  <c r="BW6" i="2"/>
  <c r="CF6" i="2" s="1"/>
  <c r="BW35" i="2"/>
  <c r="CF35" i="2" s="1"/>
  <c r="BW38" i="2"/>
  <c r="CF38" i="2" s="1"/>
  <c r="BV43" i="2"/>
  <c r="CF43" i="2" s="1"/>
  <c r="BV2" i="2"/>
  <c r="CF2" i="2" s="1"/>
  <c r="BW26" i="2"/>
  <c r="CF26" i="2" s="1"/>
  <c r="BW34" i="2"/>
  <c r="CF34" i="2" s="1"/>
  <c r="CF8" i="2"/>
  <c r="CF5" i="2"/>
  <c r="BU29" i="2"/>
  <c r="CF29" i="2" s="1"/>
  <c r="BW41" i="2"/>
  <c r="CF41" i="2" s="1"/>
  <c r="CF42" i="2"/>
  <c r="CF39" i="2"/>
  <c r="BV32" i="2"/>
  <c r="CF32" i="2" s="1"/>
  <c r="C4" i="5" a="1"/>
  <c r="C4" i="5" s="1"/>
  <c r="BV21" i="2"/>
  <c r="CF21" i="2" s="1"/>
  <c r="BV44" i="2"/>
  <c r="CF44" i="2" s="1"/>
  <c r="BW11" i="2"/>
  <c r="CF11" i="2" s="1"/>
  <c r="CF20" i="2"/>
  <c r="BW15" i="2"/>
  <c r="CF15" i="2" s="1"/>
  <c r="BW7" i="2"/>
  <c r="CF7" i="2" s="1"/>
  <c r="CF45" i="2"/>
  <c r="CF30" i="2"/>
  <c r="BU28" i="2"/>
  <c r="CF28" i="2" s="1"/>
  <c r="BU16" i="2"/>
  <c r="CF16" i="2" s="1"/>
  <c r="BV25" i="2"/>
  <c r="CF25" i="2" s="1"/>
  <c r="CF18" i="2"/>
  <c r="CF27" i="2"/>
  <c r="CF9" i="2"/>
  <c r="CF37" i="2"/>
  <c r="CF10" i="2"/>
  <c r="CF17" i="2"/>
  <c r="CF14" i="2"/>
  <c r="CF22" i="2"/>
  <c r="CF47" i="2"/>
  <c r="CF49" i="2"/>
  <c r="CF13" i="2"/>
  <c r="CF12" i="2"/>
  <c r="CF4" i="2"/>
  <c r="CF33" i="2"/>
  <c r="CF24" i="2"/>
  <c r="CF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<sst xmlns="http://schemas.openxmlformats.org/spreadsheetml/2006/main" count="3898" uniqueCount="296">
  <si>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</si>
  <si>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</si>
  <si>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</si>
  <si>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</si>
  <si>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</si>
  <si>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</si>
  <si>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</si>
  <si>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</si>
  <si>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</si>
  <si>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</si>
  <si>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</si>
  <si>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</si>
  <si>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</si>
  <si>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</si>
  <si>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</si>
  <si>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</si>
  <si>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</si>
  <si>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</si>
  <si>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</si>
  <si>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</si>
  <si>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</si>
  <si>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</si>
  <si>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</si>
  <si>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</si>
  <si>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</si>
  <si>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</si>
  <si>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</si>
  <si>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</si>
  <si>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</si>
  <si>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</si>
  <si>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</si>
  <si>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</si>
  <si>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</si>
  <si>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</si>
  <si>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</si>
  <si>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</si>
  <si>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</si>
  <si>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</si>
  <si>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</si>
  <si>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</si>
  <si>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</si>
  <si>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</si>
  <si>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</si>
  <si>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</si>
  <si>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</si>
  <si>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</si>
  <si>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</si>
  <si>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</si>
  <si>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</si>
  <si>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</si>
  <si>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</si>
  <si>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</si>
  <si>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</si>
  <si>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</si>
  <si>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</si>
  <si>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</si>
  <si>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</si>
  <si>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</si>
  <si>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</si>
  <si>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</si>
  <si>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</si>
  <si>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</si>
  <si>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</si>
  <si>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</si>
  <si>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</si>
  <si>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</si>
  <si>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</si>
  <si>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</si>
  <si>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</si>
  <si>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</si>
  <si>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</si>
  <si>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</si>
  <si>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</si>
  <si>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</si>
  <si>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</si>
  <si>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</si>
  <si>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</si>
  <si>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</si>
  <si>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</si>
  <si>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</si>
  <si>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</si>
  <si>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</si>
  <si>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</si>
  <si>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</si>
  <si>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</si>
  <si>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</si>
  <si>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</si>
  <si>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</si>
  <si>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</si>
  <si>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</si>
  <si>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</si>
  <si>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</si>
  <si>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</si>
  <si>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</si>
  <si>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</si>
  <si>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</si>
  <si>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</si>
  <si>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</si>
  <si>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</si>
  <si>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</si>
  <si>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</si>
  <si>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</si>
  <si>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</si>
  <si>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</si>
  <si>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</si>
  <si>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</si>
  <si>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</si>
  <si>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</si>
  <si>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</si>
  <si>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</si>
  <si>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</si>
  <si>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</si>
  <si>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</si>
  <si>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</si>
  <si>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</si>
  <si>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</si>
  <si>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</si>
  <si>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</si>
  <si>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</si>
  <si>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</si>
  <si>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</si>
  <si>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</si>
  <si>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</si>
  <si>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</si>
  <si>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</si>
  <si>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</si>
  <si>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</si>
  <si>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</si>
  <si>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</si>
  <si>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</si>
  <si>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</si>
  <si>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</si>
  <si>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</si>
  <si>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</si>
  <si>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</si>
  <si>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</si>
  <si>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</si>
  <si>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</si>
  <si>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</si>
  <si>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</si>
  <si>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</si>
  <si>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</si>
  <si>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</si>
  <si>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</si>
  <si>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</si>
  <si>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</si>
  <si>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</si>
  <si>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</si>
  <si>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</si>
  <si>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</si>
  <si>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</si>
  <si>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</si>
  <si>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</si>
  <si>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</si>
  <si>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</si>
  <si>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</si>
  <si>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</si>
  <si>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</si>
  <si>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</si>
  <si>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</si>
  <si>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</si>
  <si>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</si>
  <si>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</si>
  <si>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</si>
  <si>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</si>
  <si>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</si>
  <si>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</si>
  <si>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</si>
  <si>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</si>
  <si>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</si>
  <si>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</si>
  <si>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</si>
  <si>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</si>
  <si>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</si>
  <si>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</si>
  <si>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</si>
  <si>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</si>
  <si>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</si>
  <si>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</si>
  <si>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</si>
  <si>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</si>
  <si>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</si>
  <si>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</si>
  <si>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</si>
  <si>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</si>
  <si>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</si>
  <si>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</si>
  <si>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</si>
  <si>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</si>
  <si>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</si>
  <si>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</si>
  <si>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</si>
  <si>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</si>
  <si>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</si>
  <si>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</si>
  <si>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</si>
  <si>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</si>
  <si>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</si>
  <si>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</si>
  <si>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</si>
  <si>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</si>
  <si>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</si>
  <si>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</si>
  <si>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</si>
  <si>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</si>
  <si>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</si>
  <si>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</si>
  <si>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</si>
  <si>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</si>
  <si>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</si>
  <si>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</si>
  <si>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</si>
  <si>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</si>
  <si>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</si>
  <si>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</si>
  <si>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</si>
  <si>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</si>
  <si>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</si>
  <si>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</si>
  <si>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</si>
  <si>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</si>
  <si>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</si>
  <si>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</si>
  <si>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</si>
  <si>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</si>
  <si>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</si>
  <si>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</si>
  <si>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</si>
  <si>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</si>
  <si>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</si>
  <si>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</si>
  <si>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</si>
  <si>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</si>
  <si>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</si>
  <si>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</si>
  <si>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</si>
  <si>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</si>
  <si>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</si>
  <si>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</si>
  <si>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</si>
  <si>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</si>
  <si>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</si>
  <si>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</si>
  <si>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</si>
  <si>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</si>
  <si>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</si>
  <si>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</si>
  <si>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</si>
  <si>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</si>
  <si>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C</t>
  </si>
  <si>
    <t>Fase</t>
  </si>
  <si>
    <t>Partit</t>
  </si>
  <si>
    <t>Data</t>
  </si>
  <si>
    <t>Jornada 3</t>
  </si>
  <si>
    <t>Ecuador vs. Alemanya</t>
  </si>
  <si>
    <t>E</t>
  </si>
  <si>
    <t>Curazao vs. Costa de Marfil</t>
  </si>
  <si>
    <t>Túnez vs. Països Baixos</t>
  </si>
  <si>
    <t>F</t>
  </si>
  <si>
    <t>Japón vs. Suecia</t>
  </si>
  <si>
    <t>Turquía vs. Estats Units</t>
  </si>
  <si>
    <t>D</t>
  </si>
  <si>
    <t>Paraguay vs. Australia</t>
  </si>
  <si>
    <t>Noruega vs. Francia</t>
  </si>
  <si>
    <t>I</t>
  </si>
  <si>
    <t>Senegal vs. Irak</t>
  </si>
  <si>
    <t>Uruguay vs. España</t>
  </si>
  <si>
    <t>H</t>
  </si>
  <si>
    <t>Cabo Verde vs. Arabia Saudita</t>
  </si>
  <si>
    <t>Nueva Zelanda vs. Bélgica</t>
  </si>
  <si>
    <t>G</t>
  </si>
  <si>
    <t>Egipto vs. Irán</t>
  </si>
  <si>
    <t>Panamá vs. Inglaterra</t>
  </si>
  <si>
    <t>L</t>
  </si>
  <si>
    <t>Croacia vs. Ghana</t>
  </si>
  <si>
    <t>Colombia vs. Portugal</t>
  </si>
  <si>
    <t>K</t>
  </si>
  <si>
    <t>RD Congo vs. Uzbekistán</t>
  </si>
  <si>
    <t>Jordania vs. Argentina</t>
  </si>
  <si>
    <t>J</t>
  </si>
  <si>
    <t>Argelia vs. Austria</t>
  </si>
  <si>
    <t>Hora</t>
  </si>
  <si>
    <t>Resultat</t>
  </si>
  <si>
    <t>Bòsnia i Hercegovina vs. Qatar</t>
  </si>
  <si>
    <t>B</t>
  </si>
  <si>
    <t>Suïssa vs. Canadà</t>
  </si>
  <si>
    <t>Escòcia vs. Brasil</t>
  </si>
  <si>
    <t>0 - 3</t>
  </si>
  <si>
    <t>Marroc vs. Haití</t>
  </si>
  <si>
    <t>Sud-àfrica vs. Corea del Sud</t>
  </si>
  <si>
    <t>1 - 0</t>
  </si>
  <si>
    <t>A</t>
  </si>
  <si>
    <t>República Txeca vs. Mèxic</t>
  </si>
  <si>
    <t>2-1</t>
  </si>
  <si>
    <t>0-3</t>
  </si>
  <si>
    <t>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</si>
</sst>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0" borderId="0" xfId="0" applyAlignment="1"/>
    <xf numFmtId="0" fontId="0" fillId="10" borderId="2" xfId="0" applyFill="1" applyBorder="1" applyAlignment="1"/>
    <xf numFmtId="0" fontId="0" fillId="0" borderId="2" xfId="0" applyBorder="1" applyAlignment="1"/>
    <xf numFmtId="14" fontId="0" fillId="0" borderId="2" xfId="0" applyNumberFormat="1" applyBorder="1" applyAlignment="1"/>
    <xf numFmtId="20" fontId="3" fillId="0" borderId="2" xfId="0" applyNumberFormat="1" applyFont="1" applyBorder="1"/>
    <xf numFmtId="16" fontId="0" fillId="0" borderId="2" xfId="0" quotePrefix="1" applyNumberFormat="1" applyBorder="1" applyAlignment="1"/>
    <xf numFmtId="0" fontId="0" fillId="0" borderId="2" xfId="0" quotePrefix="1" applyBorder="1" applyAlignment="1"/>
    <xf numFmtId="20" fontId="0" fillId="0" borderId="2" xfId="0" applyNumberFormat="1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A3" workbookViewId="0">
      <selection activeCell="E2" sqref="E2:E33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9.42578125" bestFit="1" customWidth="1"/>
    <col min="6" max="6" width="8.140625" bestFit="1" customWidth="1"/>
    <col min="7" max="8" width="8" bestFit="1" customWidth="1"/>
    <col min="9" max="9" width="10.425781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5">
      <c r="A3" s="2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5">
      <c r="A4" s="2" t="s">
        <v>227</v>
      </c>
      <c r="B4" s="2" t="s">
        <v>231</v>
      </c>
      <c r="C4" s="16" t="s">
        <v>98</v>
      </c>
      <c r="E4" s="14" t="str">
        <f>+C5</f>
        <v>Suïssa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5">
      <c r="A5" s="2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229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5">
      <c r="A6" s="2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2</v>
      </c>
    </row>
    <row r="7" spans="1:15" x14ac:dyDescent="0.25">
      <c r="A7" s="2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5">
      <c r="A8" s="2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5">
      <c r="A9" s="2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5">
      <c r="A10" s="2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5">
      <c r="A11" s="2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5">
      <c r="A12" s="2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5">
      <c r="A13" s="2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5">
      <c r="A14" s="2" t="s">
        <v>235</v>
      </c>
      <c r="B14" s="2" t="s">
        <v>228</v>
      </c>
      <c r="C14" s="3" t="s">
        <v>90</v>
      </c>
      <c r="E14" s="14" t="str">
        <f>+C20</f>
        <v>Egipte</v>
      </c>
      <c r="F14" s="10" t="s">
        <v>229</v>
      </c>
      <c r="N14" t="s">
        <v>201</v>
      </c>
      <c r="O14" s="3">
        <v>0</v>
      </c>
    </row>
    <row r="15" spans="1:15" x14ac:dyDescent="0.25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5">
      <c r="A16" s="2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5">
      <c r="A17" s="2" t="s">
        <v>236</v>
      </c>
      <c r="B17" s="2" t="s">
        <v>228</v>
      </c>
      <c r="C17" s="3" t="s">
        <v>91</v>
      </c>
      <c r="E17" s="14" t="str">
        <f>+C24</f>
        <v>Uruguai</v>
      </c>
      <c r="F17" s="10" t="s">
        <v>229</v>
      </c>
    </row>
    <row r="18" spans="1:6" x14ac:dyDescent="0.25">
      <c r="A18" s="2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5">
      <c r="A19" s="2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5">
      <c r="A20" s="2" t="s">
        <v>237</v>
      </c>
      <c r="B20" s="2" t="s">
        <v>228</v>
      </c>
      <c r="C20" s="3" t="s">
        <v>104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16" t="s">
        <v>92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5">
      <c r="A24" s="2" t="s">
        <v>238</v>
      </c>
      <c r="B24" s="2" t="s">
        <v>230</v>
      </c>
      <c r="C24" s="3" t="s">
        <v>105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16" t="s">
        <v>143</v>
      </c>
      <c r="E25" s="14" t="str">
        <f>+C36</f>
        <v>Ghana</v>
      </c>
    </row>
    <row r="26" spans="1:6" x14ac:dyDescent="0.25">
      <c r="A26" s="2" t="s">
        <v>239</v>
      </c>
      <c r="B26" s="2" t="s">
        <v>228</v>
      </c>
      <c r="C26" s="3" t="s">
        <v>94</v>
      </c>
      <c r="E26" s="10" t="s">
        <v>98</v>
      </c>
      <c r="F26" s="3"/>
    </row>
    <row r="27" spans="1:6" x14ac:dyDescent="0.25">
      <c r="A27" s="2" t="s">
        <v>239</v>
      </c>
      <c r="B27" s="2" t="s">
        <v>230</v>
      </c>
      <c r="C27" s="3" t="s">
        <v>118</v>
      </c>
      <c r="E27" s="10" t="s">
        <v>246</v>
      </c>
    </row>
    <row r="28" spans="1:6" x14ac:dyDescent="0.25">
      <c r="A28" s="2" t="s">
        <v>239</v>
      </c>
      <c r="B28" s="2" t="s">
        <v>231</v>
      </c>
      <c r="C28" s="16" t="s">
        <v>106</v>
      </c>
      <c r="E28" s="10" t="s">
        <v>113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143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92</v>
      </c>
    </row>
    <row r="31" spans="1:6" x14ac:dyDescent="0.25">
      <c r="A31" s="2" t="s">
        <v>240</v>
      </c>
      <c r="B31" s="2" t="s">
        <v>231</v>
      </c>
      <c r="C31" s="17" t="s">
        <v>119</v>
      </c>
      <c r="E31" s="10" t="s">
        <v>119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103</v>
      </c>
    </row>
    <row r="33" spans="1:5" x14ac:dyDescent="0.25">
      <c r="A33" s="2" t="s">
        <v>241</v>
      </c>
      <c r="B33" s="2" t="s">
        <v>230</v>
      </c>
      <c r="C33" s="3" t="s">
        <v>96</v>
      </c>
      <c r="E33" s="10" t="s">
        <v>109</v>
      </c>
    </row>
    <row r="34" spans="1:5" x14ac:dyDescent="0.25">
      <c r="A34" s="2" t="s">
        <v>241</v>
      </c>
      <c r="B34" s="2" t="s">
        <v>231</v>
      </c>
      <c r="C34" s="16" t="s">
        <v>128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121</v>
      </c>
    </row>
    <row r="37" spans="1:5" x14ac:dyDescent="0.25">
      <c r="A37" s="2" t="s">
        <v>242</v>
      </c>
      <c r="B37" s="2" t="s">
        <v>231</v>
      </c>
      <c r="C37" s="16" t="s">
        <v>109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F41"/>
  <sheetViews>
    <sheetView tabSelected="1" workbookViewId="0">
      <selection sqref="A1:F25"/>
    </sheetView>
  </sheetViews>
  <sheetFormatPr baseColWidth="10" defaultColWidth="11.28515625" defaultRowHeight="15" x14ac:dyDescent="0.25"/>
  <cols>
    <col min="1" max="1" width="9.28515625" style="18" bestFit="1" customWidth="1"/>
    <col min="2" max="2" width="27.7109375" style="18" bestFit="1" customWidth="1"/>
    <col min="3" max="4" width="11.28515625" style="18"/>
    <col min="5" max="5" width="5.28515625" style="18" bestFit="1" customWidth="1"/>
    <col min="6" max="6" width="23.140625" style="18" customWidth="1"/>
    <col min="7" max="9" width="11.28515625" style="18"/>
    <col min="10" max="10" width="51.7109375" style="18" customWidth="1"/>
    <col min="11" max="16384" width="11.28515625" style="18"/>
  </cols>
  <sheetData>
    <row r="1" spans="1:6" x14ac:dyDescent="0.25">
      <c r="A1" s="19" t="s">
        <v>250</v>
      </c>
      <c r="B1" s="19" t="s">
        <v>251</v>
      </c>
      <c r="C1" s="19" t="s">
        <v>252</v>
      </c>
      <c r="D1" s="19" t="s">
        <v>281</v>
      </c>
      <c r="E1" s="19" t="s">
        <v>217</v>
      </c>
      <c r="F1" s="19" t="s">
        <v>282</v>
      </c>
    </row>
    <row r="2" spans="1:6" x14ac:dyDescent="0.25">
      <c r="A2" s="20" t="s">
        <v>253</v>
      </c>
      <c r="B2" s="20" t="s">
        <v>289</v>
      </c>
      <c r="C2" s="21">
        <v>46197</v>
      </c>
      <c r="D2" s="22">
        <v>0.75</v>
      </c>
      <c r="E2" s="20" t="s">
        <v>291</v>
      </c>
      <c r="F2" s="20" t="s">
        <v>290</v>
      </c>
    </row>
    <row r="3" spans="1:6" x14ac:dyDescent="0.25">
      <c r="A3" s="20" t="s">
        <v>253</v>
      </c>
      <c r="B3" s="20" t="s">
        <v>292</v>
      </c>
      <c r="C3" s="21">
        <v>46197</v>
      </c>
      <c r="D3" s="22">
        <v>0.75</v>
      </c>
      <c r="E3" s="20" t="s">
        <v>291</v>
      </c>
      <c r="F3" s="20" t="s">
        <v>287</v>
      </c>
    </row>
    <row r="4" spans="1:6" x14ac:dyDescent="0.25">
      <c r="A4" s="20" t="s">
        <v>253</v>
      </c>
      <c r="B4" s="20" t="s">
        <v>283</v>
      </c>
      <c r="C4" s="21">
        <v>46197</v>
      </c>
      <c r="D4" s="22">
        <v>0.875</v>
      </c>
      <c r="E4" s="20" t="s">
        <v>284</v>
      </c>
      <c r="F4" s="23" t="s">
        <v>216</v>
      </c>
    </row>
    <row r="5" spans="1:6" x14ac:dyDescent="0.25">
      <c r="A5" s="20" t="s">
        <v>253</v>
      </c>
      <c r="B5" s="20" t="s">
        <v>285</v>
      </c>
      <c r="C5" s="21">
        <v>46197</v>
      </c>
      <c r="D5" s="22">
        <v>0.875</v>
      </c>
      <c r="E5" s="20" t="s">
        <v>284</v>
      </c>
      <c r="F5" s="24" t="s">
        <v>293</v>
      </c>
    </row>
    <row r="6" spans="1:6" x14ac:dyDescent="0.25">
      <c r="A6" s="20" t="s">
        <v>253</v>
      </c>
      <c r="B6" s="20" t="s">
        <v>286</v>
      </c>
      <c r="C6" s="21">
        <v>46198</v>
      </c>
      <c r="D6" s="25">
        <v>0.125</v>
      </c>
      <c r="E6" s="20" t="s">
        <v>249</v>
      </c>
      <c r="F6" s="24" t="s">
        <v>294</v>
      </c>
    </row>
    <row r="7" spans="1:6" x14ac:dyDescent="0.25">
      <c r="A7" s="20" t="s">
        <v>253</v>
      </c>
      <c r="B7" s="20" t="s">
        <v>288</v>
      </c>
      <c r="C7" s="21">
        <v>46198</v>
      </c>
      <c r="D7" s="25">
        <v>0.125</v>
      </c>
      <c r="E7" s="20" t="s">
        <v>249</v>
      </c>
      <c r="F7" s="24" t="s">
        <v>295</v>
      </c>
    </row>
    <row r="8" spans="1:6" x14ac:dyDescent="0.25">
      <c r="A8" s="20" t="s">
        <v>253</v>
      </c>
      <c r="B8" s="20" t="s">
        <v>254</v>
      </c>
      <c r="C8" s="21">
        <v>46198</v>
      </c>
      <c r="D8" s="25">
        <v>0.91666666666666663</v>
      </c>
      <c r="E8" s="20" t="s">
        <v>255</v>
      </c>
      <c r="F8" s="20" t="s">
        <v>229</v>
      </c>
    </row>
    <row r="9" spans="1:6" x14ac:dyDescent="0.25">
      <c r="A9" s="20" t="s">
        <v>253</v>
      </c>
      <c r="B9" s="20" t="s">
        <v>256</v>
      </c>
      <c r="C9" s="21">
        <v>46198</v>
      </c>
      <c r="D9" s="25">
        <v>0.91666666666666663</v>
      </c>
      <c r="E9" s="20" t="s">
        <v>255</v>
      </c>
      <c r="F9" s="20" t="s">
        <v>229</v>
      </c>
    </row>
    <row r="10" spans="1:6" x14ac:dyDescent="0.25">
      <c r="A10" s="20" t="s">
        <v>253</v>
      </c>
      <c r="B10" s="20" t="s">
        <v>257</v>
      </c>
      <c r="C10" s="21">
        <v>46199</v>
      </c>
      <c r="D10" s="25">
        <v>4.1666666666666664E-2</v>
      </c>
      <c r="E10" s="20" t="s">
        <v>258</v>
      </c>
      <c r="F10" s="20" t="s">
        <v>229</v>
      </c>
    </row>
    <row r="11" spans="1:6" x14ac:dyDescent="0.25">
      <c r="A11" s="20" t="s">
        <v>253</v>
      </c>
      <c r="B11" s="20" t="s">
        <v>259</v>
      </c>
      <c r="C11" s="21">
        <v>46199</v>
      </c>
      <c r="D11" s="25">
        <v>4.1666666666666664E-2</v>
      </c>
      <c r="E11" s="20" t="s">
        <v>258</v>
      </c>
      <c r="F11" s="20" t="s">
        <v>229</v>
      </c>
    </row>
    <row r="12" spans="1:6" x14ac:dyDescent="0.25">
      <c r="A12" s="20" t="s">
        <v>253</v>
      </c>
      <c r="B12" s="20" t="s">
        <v>260</v>
      </c>
      <c r="C12" s="21">
        <v>46199</v>
      </c>
      <c r="D12" s="25">
        <v>0.16666666666666666</v>
      </c>
      <c r="E12" s="20" t="s">
        <v>261</v>
      </c>
      <c r="F12" s="20" t="s">
        <v>229</v>
      </c>
    </row>
    <row r="13" spans="1:6" x14ac:dyDescent="0.25">
      <c r="A13" s="20" t="s">
        <v>253</v>
      </c>
      <c r="B13" s="20" t="s">
        <v>262</v>
      </c>
      <c r="C13" s="21">
        <v>46199</v>
      </c>
      <c r="D13" s="25">
        <v>0.16666666666666666</v>
      </c>
      <c r="E13" s="20" t="s">
        <v>261</v>
      </c>
      <c r="F13" s="20" t="s">
        <v>229</v>
      </c>
    </row>
    <row r="14" spans="1:6" x14ac:dyDescent="0.25">
      <c r="A14" s="20" t="s">
        <v>253</v>
      </c>
      <c r="B14" s="20" t="s">
        <v>263</v>
      </c>
      <c r="C14" s="21">
        <v>46199</v>
      </c>
      <c r="D14" s="25">
        <v>0.875</v>
      </c>
      <c r="E14" s="20" t="s">
        <v>264</v>
      </c>
      <c r="F14" s="20" t="s">
        <v>229</v>
      </c>
    </row>
    <row r="15" spans="1:6" x14ac:dyDescent="0.25">
      <c r="A15" s="20" t="s">
        <v>253</v>
      </c>
      <c r="B15" s="20" t="s">
        <v>265</v>
      </c>
      <c r="C15" s="21">
        <v>46199</v>
      </c>
      <c r="D15" s="25">
        <v>0.875</v>
      </c>
      <c r="E15" s="20" t="s">
        <v>264</v>
      </c>
      <c r="F15" s="20" t="s">
        <v>229</v>
      </c>
    </row>
    <row r="16" spans="1:6" x14ac:dyDescent="0.25">
      <c r="A16" s="20" t="s">
        <v>253</v>
      </c>
      <c r="B16" s="20" t="s">
        <v>266</v>
      </c>
      <c r="C16" s="21">
        <v>46200</v>
      </c>
      <c r="D16" s="25">
        <v>8.3333333333333329E-2</v>
      </c>
      <c r="E16" s="20" t="s">
        <v>267</v>
      </c>
      <c r="F16" s="20" t="s">
        <v>229</v>
      </c>
    </row>
    <row r="17" spans="1:6" x14ac:dyDescent="0.25">
      <c r="A17" s="20" t="s">
        <v>253</v>
      </c>
      <c r="B17" s="20" t="s">
        <v>268</v>
      </c>
      <c r="C17" s="21">
        <v>46200</v>
      </c>
      <c r="D17" s="25">
        <v>8.3333333333333329E-2</v>
      </c>
      <c r="E17" s="20" t="s">
        <v>267</v>
      </c>
      <c r="F17" s="20" t="s">
        <v>229</v>
      </c>
    </row>
    <row r="18" spans="1:6" x14ac:dyDescent="0.25">
      <c r="A18" s="20" t="s">
        <v>253</v>
      </c>
      <c r="B18" s="20" t="s">
        <v>269</v>
      </c>
      <c r="C18" s="21">
        <v>46200</v>
      </c>
      <c r="D18" s="25">
        <v>0.20833333333333334</v>
      </c>
      <c r="E18" s="20" t="s">
        <v>270</v>
      </c>
      <c r="F18" s="20" t="s">
        <v>229</v>
      </c>
    </row>
    <row r="19" spans="1:6" x14ac:dyDescent="0.25">
      <c r="A19" s="20" t="s">
        <v>253</v>
      </c>
      <c r="B19" s="20" t="s">
        <v>271</v>
      </c>
      <c r="C19" s="21">
        <v>46200</v>
      </c>
      <c r="D19" s="25">
        <v>0.20833333333333334</v>
      </c>
      <c r="E19" s="20" t="s">
        <v>270</v>
      </c>
      <c r="F19" s="20" t="s">
        <v>229</v>
      </c>
    </row>
    <row r="20" spans="1:6" x14ac:dyDescent="0.25">
      <c r="A20" s="20" t="s">
        <v>253</v>
      </c>
      <c r="B20" s="20" t="s">
        <v>272</v>
      </c>
      <c r="C20" s="21">
        <v>46200</v>
      </c>
      <c r="D20" s="25">
        <v>0.95833333333333337</v>
      </c>
      <c r="E20" s="20" t="s">
        <v>273</v>
      </c>
      <c r="F20" s="20" t="s">
        <v>229</v>
      </c>
    </row>
    <row r="21" spans="1:6" x14ac:dyDescent="0.25">
      <c r="A21" s="20" t="s">
        <v>253</v>
      </c>
      <c r="B21" s="20" t="s">
        <v>274</v>
      </c>
      <c r="C21" s="21">
        <v>46200</v>
      </c>
      <c r="D21" s="25">
        <v>0.95833333333333337</v>
      </c>
      <c r="E21" s="20" t="s">
        <v>273</v>
      </c>
      <c r="F21" s="20" t="s">
        <v>229</v>
      </c>
    </row>
    <row r="22" spans="1:6" x14ac:dyDescent="0.25">
      <c r="A22" s="20" t="s">
        <v>253</v>
      </c>
      <c r="B22" s="20" t="s">
        <v>275</v>
      </c>
      <c r="C22" s="21">
        <v>46201</v>
      </c>
      <c r="D22" s="25">
        <v>6.25E-2</v>
      </c>
      <c r="E22" s="20" t="s">
        <v>276</v>
      </c>
      <c r="F22" s="20" t="s">
        <v>229</v>
      </c>
    </row>
    <row r="23" spans="1:6" x14ac:dyDescent="0.25">
      <c r="A23" s="20" t="s">
        <v>253</v>
      </c>
      <c r="B23" s="20" t="s">
        <v>277</v>
      </c>
      <c r="C23" s="21">
        <v>46201</v>
      </c>
      <c r="D23" s="25">
        <v>6.25E-2</v>
      </c>
      <c r="E23" s="20" t="s">
        <v>276</v>
      </c>
      <c r="F23" s="20" t="s">
        <v>229</v>
      </c>
    </row>
    <row r="24" spans="1:6" x14ac:dyDescent="0.25">
      <c r="A24" s="20" t="s">
        <v>253</v>
      </c>
      <c r="B24" s="20" t="s">
        <v>278</v>
      </c>
      <c r="C24" s="21">
        <v>46201</v>
      </c>
      <c r="D24" s="25">
        <v>0.16666666666666666</v>
      </c>
      <c r="E24" s="20" t="s">
        <v>279</v>
      </c>
      <c r="F24" s="20" t="s">
        <v>229</v>
      </c>
    </row>
    <row r="25" spans="1:6" x14ac:dyDescent="0.25">
      <c r="A25" s="20" t="s">
        <v>253</v>
      </c>
      <c r="B25" s="20" t="s">
        <v>280</v>
      </c>
      <c r="C25" s="21">
        <v>46201</v>
      </c>
      <c r="D25" s="25">
        <v>0.16666666666666666</v>
      </c>
      <c r="E25" s="20" t="s">
        <v>279</v>
      </c>
      <c r="F25" s="20" t="s">
        <v>229</v>
      </c>
    </row>
    <row r="26" spans="1:6" x14ac:dyDescent="0.25">
      <c r="A26" s="20" t="s">
        <v>220</v>
      </c>
      <c r="B26" s="20"/>
      <c r="C26" s="21"/>
      <c r="D26" s="25"/>
      <c r="E26" s="20"/>
      <c r="F26" s="20"/>
    </row>
    <row r="27" spans="1:6" x14ac:dyDescent="0.25">
      <c r="A27" s="20" t="s">
        <v>220</v>
      </c>
      <c r="B27" s="20"/>
      <c r="C27" s="21"/>
      <c r="D27" s="25"/>
      <c r="E27" s="20"/>
      <c r="F27" s="20"/>
    </row>
    <row r="28" spans="1:6" x14ac:dyDescent="0.25">
      <c r="A28" s="20" t="s">
        <v>220</v>
      </c>
      <c r="B28" s="20"/>
      <c r="C28" s="21"/>
      <c r="D28" s="25"/>
      <c r="E28" s="20"/>
      <c r="F28" s="20"/>
    </row>
    <row r="29" spans="1:6" x14ac:dyDescent="0.25">
      <c r="A29" s="20" t="s">
        <v>220</v>
      </c>
      <c r="B29" s="20"/>
      <c r="C29" s="21"/>
      <c r="D29" s="25"/>
      <c r="E29" s="20"/>
      <c r="F29" s="20"/>
    </row>
    <row r="30" spans="1:6" x14ac:dyDescent="0.25">
      <c r="A30" s="20" t="s">
        <v>220</v>
      </c>
      <c r="B30" s="20"/>
      <c r="C30" s="21"/>
      <c r="D30" s="25"/>
      <c r="E30" s="20"/>
      <c r="F30" s="20"/>
    </row>
    <row r="31" spans="1:6" x14ac:dyDescent="0.25">
      <c r="A31" s="20" t="s">
        <v>220</v>
      </c>
      <c r="B31" s="20"/>
      <c r="C31" s="21"/>
      <c r="D31" s="25"/>
      <c r="E31" s="20"/>
      <c r="F31" s="20"/>
    </row>
    <row r="32" spans="1:6" x14ac:dyDescent="0.25">
      <c r="A32" s="20" t="s">
        <v>220</v>
      </c>
      <c r="B32" s="20"/>
      <c r="C32" s="21"/>
      <c r="D32" s="25"/>
      <c r="E32" s="20"/>
      <c r="F32" s="20"/>
    </row>
    <row r="33" spans="1:6" x14ac:dyDescent="0.25">
      <c r="A33" s="20" t="s">
        <v>220</v>
      </c>
      <c r="B33" s="20"/>
      <c r="C33" s="21"/>
      <c r="D33" s="25"/>
      <c r="E33" s="20"/>
      <c r="F33" s="20"/>
    </row>
    <row r="34" spans="1:6" x14ac:dyDescent="0.25">
      <c r="A34" s="20" t="s">
        <v>220</v>
      </c>
      <c r="B34" s="20"/>
      <c r="C34" s="21"/>
      <c r="D34" s="25"/>
      <c r="E34" s="20"/>
      <c r="F34" s="20"/>
    </row>
    <row r="35" spans="1:6" x14ac:dyDescent="0.25">
      <c r="A35" s="20" t="s">
        <v>220</v>
      </c>
      <c r="B35" s="20"/>
      <c r="C35" s="21"/>
      <c r="D35" s="25"/>
      <c r="E35" s="20"/>
      <c r="F35" s="20"/>
    </row>
    <row r="36" spans="1:6" x14ac:dyDescent="0.25">
      <c r="A36" s="20" t="s">
        <v>220</v>
      </c>
      <c r="B36" s="20"/>
      <c r="C36" s="21"/>
      <c r="D36" s="25"/>
      <c r="E36" s="20"/>
      <c r="F36" s="20"/>
    </row>
    <row r="37" spans="1:6" x14ac:dyDescent="0.25">
      <c r="A37" s="20" t="s">
        <v>220</v>
      </c>
      <c r="B37" s="20"/>
      <c r="C37" s="21"/>
      <c r="D37" s="25"/>
      <c r="E37" s="20"/>
      <c r="F37" s="20"/>
    </row>
    <row r="38" spans="1:6" x14ac:dyDescent="0.25">
      <c r="A38" s="20" t="s">
        <v>220</v>
      </c>
      <c r="B38" s="20"/>
      <c r="C38" s="21"/>
      <c r="D38" s="25"/>
      <c r="E38" s="20"/>
      <c r="F38" s="20"/>
    </row>
    <row r="39" spans="1:6" x14ac:dyDescent="0.25">
      <c r="A39" s="20" t="s">
        <v>220</v>
      </c>
      <c r="B39" s="20"/>
      <c r="C39" s="21"/>
      <c r="D39" s="25"/>
      <c r="E39" s="20"/>
      <c r="F39" s="20"/>
    </row>
    <row r="40" spans="1:6" x14ac:dyDescent="0.25">
      <c r="A40" s="20" t="s">
        <v>220</v>
      </c>
      <c r="B40" s="20"/>
      <c r="C40" s="21"/>
      <c r="D40" s="25"/>
      <c r="E40" s="20"/>
      <c r="F40" s="20"/>
    </row>
    <row r="41" spans="1:6" x14ac:dyDescent="0.25">
      <c r="A41" s="20" t="s">
        <v>220</v>
      </c>
      <c r="B41" s="20"/>
      <c r="C41" s="21"/>
      <c r="D41" s="25"/>
      <c r="E41" s="20"/>
      <c r="F41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22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17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12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 t="shared" ref="CF2:CF49" si="0">SUM(BU2:CE2)</f>
        <v>55</v>
      </c>
    </row>
    <row r="3" spans="1:84" x14ac:dyDescent="0.25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17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8.5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50.5</v>
      </c>
    </row>
    <row r="4" spans="1:84" x14ac:dyDescent="0.25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20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17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 t="shared" si="0"/>
        <v>52.5</v>
      </c>
    </row>
    <row r="5" spans="1:84" x14ac:dyDescent="0.25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16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10.5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51.5</v>
      </c>
    </row>
    <row r="6" spans="1:84" x14ac:dyDescent="0.25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19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13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52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22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9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51</v>
      </c>
    </row>
    <row r="8" spans="1:84" x14ac:dyDescent="0.25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22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16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11.5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 t="shared" si="0"/>
        <v>53.5</v>
      </c>
    </row>
    <row r="9" spans="1:84" x14ac:dyDescent="0.25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21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14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10.5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49.5</v>
      </c>
    </row>
    <row r="10" spans="1:84" x14ac:dyDescent="0.25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21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8.5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50.5</v>
      </c>
    </row>
    <row r="11" spans="1:84" x14ac:dyDescent="0.25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22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14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53</v>
      </c>
    </row>
    <row r="12" spans="1:84" x14ac:dyDescent="0.25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22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15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11.5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52.5</v>
      </c>
    </row>
    <row r="13" spans="1:84" x14ac:dyDescent="0.25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21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17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10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48</v>
      </c>
    </row>
    <row r="14" spans="1:84" x14ac:dyDescent="0.25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20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14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 t="shared" si="0"/>
        <v>50.5</v>
      </c>
    </row>
    <row r="15" spans="1:84" x14ac:dyDescent="0.25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19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11.5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 t="shared" si="0"/>
        <v>48.5</v>
      </c>
    </row>
    <row r="16" spans="1:84" x14ac:dyDescent="0.25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20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8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 t="shared" si="0"/>
        <v>48</v>
      </c>
    </row>
    <row r="17" spans="1:84" x14ac:dyDescent="0.25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18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14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8.5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44.5</v>
      </c>
    </row>
    <row r="18" spans="1:84" x14ac:dyDescent="0.25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19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46.5</v>
      </c>
    </row>
    <row r="19" spans="1:84" x14ac:dyDescent="0.25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20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8.5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 t="shared" si="0"/>
        <v>47.5</v>
      </c>
    </row>
    <row r="20" spans="1:84" x14ac:dyDescent="0.25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19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15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14.5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50.5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22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13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9.5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46.5</v>
      </c>
    </row>
    <row r="22" spans="1:84" x14ac:dyDescent="0.25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23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16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10.5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49.5</v>
      </c>
    </row>
    <row r="23" spans="1:84" x14ac:dyDescent="0.25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14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12.5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48.5</v>
      </c>
    </row>
    <row r="24" spans="1:84" x14ac:dyDescent="0.25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9.5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46.5</v>
      </c>
    </row>
    <row r="25" spans="1:84" x14ac:dyDescent="0.25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17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10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 t="shared" si="0"/>
        <v>46</v>
      </c>
    </row>
    <row r="26" spans="1:84" x14ac:dyDescent="0.25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21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14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49</v>
      </c>
    </row>
    <row r="27" spans="1:84" x14ac:dyDescent="0.25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22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12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10.5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44.5</v>
      </c>
    </row>
    <row r="28" spans="1:84" x14ac:dyDescent="0.25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21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10.5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50.5</v>
      </c>
    </row>
    <row r="29" spans="1:84" x14ac:dyDescent="0.25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21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49</v>
      </c>
    </row>
    <row r="30" spans="1:84" x14ac:dyDescent="0.25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21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 t="shared" si="0"/>
        <v>48.5</v>
      </c>
    </row>
    <row r="31" spans="1:84" x14ac:dyDescent="0.25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18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12.5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47.5</v>
      </c>
    </row>
    <row r="32" spans="1:84" x14ac:dyDescent="0.25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19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11.5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48.5</v>
      </c>
    </row>
    <row r="33" spans="1:84" x14ac:dyDescent="0.25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9.5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45.5</v>
      </c>
    </row>
    <row r="34" spans="1:84" x14ac:dyDescent="0.25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9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45</v>
      </c>
    </row>
    <row r="35" spans="1:84" x14ac:dyDescent="0.25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20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3.5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 t="shared" si="0"/>
        <v>44.5</v>
      </c>
    </row>
    <row r="36" spans="1:84" x14ac:dyDescent="0.25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10.5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 t="shared" si="0"/>
        <v>45.5</v>
      </c>
    </row>
    <row r="37" spans="1:84" x14ac:dyDescent="0.25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20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13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 t="shared" si="0"/>
        <v>47.5</v>
      </c>
    </row>
    <row r="38" spans="1:84" x14ac:dyDescent="0.25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22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8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45</v>
      </c>
    </row>
    <row r="39" spans="1:84" x14ac:dyDescent="0.25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21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2</v>
      </c>
      <c r="CE39">
        <f>IF(BR39='Resultats Reals'!$L$2,5,0)</f>
        <v>0</v>
      </c>
      <c r="CF39" s="7">
        <f t="shared" si="0"/>
        <v>47</v>
      </c>
    </row>
    <row r="40" spans="1:84" x14ac:dyDescent="0.25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20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14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8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0</v>
      </c>
      <c r="CE40">
        <f>IF(BR40='Resultats Reals'!$L$2,5,0)</f>
        <v>0</v>
      </c>
      <c r="CF40" s="7">
        <f t="shared" si="0"/>
        <v>42</v>
      </c>
    </row>
    <row r="41" spans="1:84" x14ac:dyDescent="0.25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11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8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 t="shared" si="0"/>
        <v>42</v>
      </c>
    </row>
    <row r="42" spans="1:84" x14ac:dyDescent="0.25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14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7.5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45.5</v>
      </c>
    </row>
    <row r="43" spans="1:84" x14ac:dyDescent="0.25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22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14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8.5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44.5</v>
      </c>
    </row>
    <row r="44" spans="1:84" x14ac:dyDescent="0.25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21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11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45</v>
      </c>
    </row>
    <row r="45" spans="1:84" x14ac:dyDescent="0.25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13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10.5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44.5</v>
      </c>
    </row>
    <row r="46" spans="1:84" x14ac:dyDescent="0.25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19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7.5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41.5</v>
      </c>
    </row>
    <row r="47" spans="1:84" x14ac:dyDescent="0.25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19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14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8.5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41.5</v>
      </c>
    </row>
    <row r="48" spans="1:84" x14ac:dyDescent="0.25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19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13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8.5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0</v>
      </c>
      <c r="CE48">
        <f>IF(BR48='Resultats Reals'!$L$2,5,0)</f>
        <v>0</v>
      </c>
      <c r="CF48" s="7">
        <f t="shared" si="0"/>
        <v>40.5</v>
      </c>
    </row>
    <row r="49" spans="1:84" x14ac:dyDescent="0.25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20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7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36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174</v>
      </c>
      <c r="B2">
        <v>56</v>
      </c>
    </row>
    <row r="3" spans="1:2" x14ac:dyDescent="0.25">
      <c r="A3" s="12" t="s">
        <v>135</v>
      </c>
      <c r="B3">
        <v>56</v>
      </c>
    </row>
    <row r="4" spans="1:2" x14ac:dyDescent="0.25">
      <c r="A4" s="12" t="s">
        <v>205</v>
      </c>
      <c r="B4">
        <v>54.5</v>
      </c>
    </row>
    <row r="5" spans="1:2" x14ac:dyDescent="0.25">
      <c r="A5" s="12" t="s">
        <v>150</v>
      </c>
      <c r="B5">
        <v>54</v>
      </c>
    </row>
    <row r="6" spans="1:2" x14ac:dyDescent="0.25">
      <c r="A6" s="12" t="s">
        <v>208</v>
      </c>
      <c r="B6">
        <v>53.5</v>
      </c>
    </row>
    <row r="7" spans="1:2" x14ac:dyDescent="0.25">
      <c r="A7" s="12" t="s">
        <v>214</v>
      </c>
      <c r="B7">
        <v>53.5</v>
      </c>
    </row>
    <row r="8" spans="1:2" x14ac:dyDescent="0.25">
      <c r="A8" s="12" t="s">
        <v>210</v>
      </c>
      <c r="B8">
        <v>52</v>
      </c>
    </row>
    <row r="9" spans="1:2" x14ac:dyDescent="0.25">
      <c r="A9" s="12" t="s">
        <v>124</v>
      </c>
      <c r="B9">
        <v>52</v>
      </c>
    </row>
    <row r="10" spans="1:2" x14ac:dyDescent="0.25">
      <c r="A10" s="12" t="s">
        <v>185</v>
      </c>
      <c r="B10">
        <v>51.5</v>
      </c>
    </row>
    <row r="11" spans="1:2" x14ac:dyDescent="0.25">
      <c r="A11" s="12" t="s">
        <v>138</v>
      </c>
      <c r="B11">
        <v>51</v>
      </c>
    </row>
    <row r="12" spans="1:2" x14ac:dyDescent="0.25">
      <c r="A12" s="12" t="s">
        <v>184</v>
      </c>
      <c r="B12">
        <v>50.5</v>
      </c>
    </row>
    <row r="13" spans="1:2" x14ac:dyDescent="0.25">
      <c r="A13" s="12" t="s">
        <v>169</v>
      </c>
      <c r="B13">
        <v>50</v>
      </c>
    </row>
    <row r="14" spans="1:2" x14ac:dyDescent="0.25">
      <c r="A14" s="12" t="s">
        <v>189</v>
      </c>
      <c r="B14">
        <v>50</v>
      </c>
    </row>
    <row r="15" spans="1:2" x14ac:dyDescent="0.25">
      <c r="A15" s="12" t="s">
        <v>157</v>
      </c>
      <c r="B15">
        <v>49.5</v>
      </c>
    </row>
    <row r="16" spans="1:2" x14ac:dyDescent="0.25">
      <c r="A16" s="12" t="s">
        <v>191</v>
      </c>
      <c r="B16">
        <v>49.5</v>
      </c>
    </row>
    <row r="17" spans="1:2" x14ac:dyDescent="0.25">
      <c r="A17" s="12" t="s">
        <v>196</v>
      </c>
      <c r="B17">
        <v>49.5</v>
      </c>
    </row>
    <row r="18" spans="1:2" x14ac:dyDescent="0.25">
      <c r="A18" s="12" t="s">
        <v>137</v>
      </c>
      <c r="B18">
        <v>49.5</v>
      </c>
    </row>
    <row r="19" spans="1:2" x14ac:dyDescent="0.25">
      <c r="A19" s="12" t="s">
        <v>209</v>
      </c>
      <c r="B19">
        <v>49</v>
      </c>
    </row>
    <row r="20" spans="1:2" x14ac:dyDescent="0.25">
      <c r="A20" s="12" t="s">
        <v>154</v>
      </c>
      <c r="B20">
        <v>48.5</v>
      </c>
    </row>
    <row r="21" spans="1:2" x14ac:dyDescent="0.25">
      <c r="A21" s="12" t="s">
        <v>206</v>
      </c>
      <c r="B21">
        <v>48.5</v>
      </c>
    </row>
    <row r="22" spans="1:2" x14ac:dyDescent="0.25">
      <c r="A22" s="12" t="s">
        <v>176</v>
      </c>
      <c r="B22">
        <v>48</v>
      </c>
    </row>
    <row r="23" spans="1:2" x14ac:dyDescent="0.25">
      <c r="A23" s="12" t="s">
        <v>187</v>
      </c>
      <c r="B23">
        <v>48</v>
      </c>
    </row>
    <row r="24" spans="1:2" x14ac:dyDescent="0.25">
      <c r="A24" s="12" t="s">
        <v>181</v>
      </c>
      <c r="B24">
        <v>48</v>
      </c>
    </row>
    <row r="25" spans="1:2" x14ac:dyDescent="0.25">
      <c r="A25" s="12" t="s">
        <v>152</v>
      </c>
      <c r="B25">
        <v>48</v>
      </c>
    </row>
    <row r="26" spans="1:2" x14ac:dyDescent="0.25">
      <c r="A26" s="12" t="s">
        <v>192</v>
      </c>
      <c r="B26">
        <v>48</v>
      </c>
    </row>
    <row r="27" spans="1:2" x14ac:dyDescent="0.25">
      <c r="A27" s="12" t="s">
        <v>159</v>
      </c>
      <c r="B27">
        <v>47.5</v>
      </c>
    </row>
    <row r="28" spans="1:2" x14ac:dyDescent="0.25">
      <c r="A28" s="12" t="s">
        <v>84</v>
      </c>
      <c r="B28">
        <v>47.5</v>
      </c>
    </row>
    <row r="29" spans="1:2" x14ac:dyDescent="0.25">
      <c r="A29" s="12" t="s">
        <v>147</v>
      </c>
      <c r="B29">
        <v>47.5</v>
      </c>
    </row>
    <row r="30" spans="1:2" x14ac:dyDescent="0.25">
      <c r="A30" s="12" t="s">
        <v>179</v>
      </c>
      <c r="B30">
        <v>47</v>
      </c>
    </row>
    <row r="31" spans="1:2" x14ac:dyDescent="0.25">
      <c r="A31" s="12" t="s">
        <v>178</v>
      </c>
      <c r="B31">
        <v>47</v>
      </c>
    </row>
    <row r="32" spans="1:2" x14ac:dyDescent="0.25">
      <c r="A32" s="12" t="s">
        <v>156</v>
      </c>
      <c r="B32">
        <v>46.5</v>
      </c>
    </row>
    <row r="33" spans="1:2" x14ac:dyDescent="0.25">
      <c r="A33" s="12" t="s">
        <v>166</v>
      </c>
      <c r="B33">
        <v>46.5</v>
      </c>
    </row>
    <row r="34" spans="1:2" x14ac:dyDescent="0.25">
      <c r="A34" s="12" t="s">
        <v>170</v>
      </c>
      <c r="B34">
        <v>46.5</v>
      </c>
    </row>
    <row r="35" spans="1:2" x14ac:dyDescent="0.25">
      <c r="A35" s="12" t="s">
        <v>168</v>
      </c>
      <c r="B35">
        <v>46</v>
      </c>
    </row>
    <row r="36" spans="1:2" x14ac:dyDescent="0.25">
      <c r="A36" s="12" t="s">
        <v>153</v>
      </c>
      <c r="B36">
        <v>46</v>
      </c>
    </row>
    <row r="37" spans="1:2" x14ac:dyDescent="0.25">
      <c r="A37" s="12" t="s">
        <v>160</v>
      </c>
      <c r="B37">
        <v>45.5</v>
      </c>
    </row>
    <row r="38" spans="1:2" x14ac:dyDescent="0.25">
      <c r="A38" s="12" t="s">
        <v>202</v>
      </c>
      <c r="B38">
        <v>45.5</v>
      </c>
    </row>
    <row r="39" spans="1:2" x14ac:dyDescent="0.25">
      <c r="A39" s="12" t="s">
        <v>203</v>
      </c>
      <c r="B39">
        <v>45</v>
      </c>
    </row>
    <row r="40" spans="1:2" x14ac:dyDescent="0.25">
      <c r="A40" s="12" t="s">
        <v>215</v>
      </c>
      <c r="B40">
        <v>44.5</v>
      </c>
    </row>
    <row r="41" spans="1:2" x14ac:dyDescent="0.25">
      <c r="A41" s="12" t="s">
        <v>163</v>
      </c>
      <c r="B41">
        <v>44.5</v>
      </c>
    </row>
    <row r="42" spans="1:2" x14ac:dyDescent="0.25">
      <c r="A42" s="12" t="s">
        <v>172</v>
      </c>
      <c r="B42">
        <v>44.5</v>
      </c>
    </row>
    <row r="43" spans="1:2" x14ac:dyDescent="0.25">
      <c r="A43" s="12" t="s">
        <v>193</v>
      </c>
      <c r="B43">
        <v>43</v>
      </c>
    </row>
    <row r="44" spans="1:2" x14ac:dyDescent="0.25">
      <c r="A44" s="12" t="s">
        <v>175</v>
      </c>
      <c r="B44">
        <v>42.5</v>
      </c>
    </row>
    <row r="45" spans="1:2" x14ac:dyDescent="0.25">
      <c r="A45" s="12" t="s">
        <v>182</v>
      </c>
      <c r="B45">
        <v>42.5</v>
      </c>
    </row>
    <row r="46" spans="1:2" x14ac:dyDescent="0.25">
      <c r="A46" s="12" t="s">
        <v>130</v>
      </c>
      <c r="B46">
        <v>42.5</v>
      </c>
    </row>
    <row r="47" spans="1:2" x14ac:dyDescent="0.25">
      <c r="A47" s="12" t="s">
        <v>198</v>
      </c>
      <c r="B47">
        <v>42</v>
      </c>
    </row>
    <row r="48" spans="1:2" x14ac:dyDescent="0.25">
      <c r="A48" s="12" t="s">
        <v>213</v>
      </c>
      <c r="B48">
        <v>41</v>
      </c>
    </row>
    <row r="49" spans="1:2" x14ac:dyDescent="0.25">
      <c r="A49" s="12" t="s">
        <v>140</v>
      </c>
      <c r="B49">
        <v>38.5</v>
      </c>
    </row>
    <row r="50" spans="1:2" x14ac:dyDescent="0.25">
      <c r="A50" s="12" t="s">
        <v>245</v>
      </c>
      <c r="B50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40" workbookViewId="0">
      <selection activeCell="A63" sqref="A63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Bèlgica</v>
      </c>
    </row>
    <row r="58" spans="1:1" x14ac:dyDescent="0.25">
      <c r="A58" t="str">
        <f>+'Resultats Reals'!C25</f>
        <v>Cap Verd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Croàcia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2026-06-25T14:49:08Z</dcterms:modified>
</cp:coreProperties>
</file>