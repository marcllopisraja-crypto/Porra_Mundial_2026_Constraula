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0" documentId="13_ncr:1_{C2D31FD4-C9ED-4BA7-BCD4-E33D8656D6F9}" xr6:coauthVersionLast="47" xr6:coauthVersionMax="47" xr10:uidLastSave="{D1E3B8DC-46B2-1043-A87B-FF4A963457F8}"/>
  <bookViews>
    <workbookView xWindow="-105" yWindow="0" windowWidth="14610" windowHeight="15585" activeTab="1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U43" i="2"/>
  <c r="BV43" i="2"/>
  <c r="CF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U29" i="2"/>
  <c r="BV29" i="2"/>
  <c r="CF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<sst xmlns="http://schemas.openxmlformats.org/spreadsheetml/2006/main" count="3723" uniqueCount="246">
  <si>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</si>
  <si>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</si>
  <si>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</si>
  <si>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</si>
  <si>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</si>
  <si>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</si>
  <si>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</si>
  <si>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</si>
  <si>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</si>
  <si>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</si>
  <si>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</si>
  <si>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</si>
  <si>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</si>
  <si>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</si>
  <si>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</si>
  <si>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</si>
  <si>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</si>
  <si>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</si>
  <si>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</si>
  <si>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</si>
  <si>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</si>
  <si>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</si>
  <si>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</si>
  <si>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</si>
  <si>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</si>
  <si>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</si>
  <si>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</si>
  <si>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</si>
  <si>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</si>
  <si>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</si>
  <si>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</si>
  <si>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</si>
  <si>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</si>
  <si>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</si>
  <si>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</si>
  <si>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</si>
  <si>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</si>
  <si>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</si>
  <si>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</si>
  <si>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</si>
  <si>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</si>
  <si>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</si>
  <si>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</si>
  <si>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</si>
  <si>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</si>
  <si>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</si>
  <si>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</si>
  <si>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</si>
  <si>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</si>
  <si>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</si>
  <si>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</si>
  <si>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</si>
  <si>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</si>
  <si>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</si>
  <si>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</si>
  <si>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</si>
  <si>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</si>
  <si>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</si>
  <si>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</si>
  <si>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</si>
  <si>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</si>
  <si>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</si>
  <si>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</si>
  <si>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</si>
  <si>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</si>
  <si>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</si>
  <si>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</si>
  <si>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</si>
  <si>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</si>
  <si>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</si>
  <si>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</si>
  <si>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</si>
  <si>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</si>
  <si>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</si>
  <si>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</si>
  <si>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</si>
  <si>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</si>
  <si>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</si>
  <si>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</si>
  <si>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</si>
  <si>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</si>
  <si>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</si>
  <si>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</si>
  <si>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</si>
  <si>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</si>
  <si>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</si>
  <si>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</si>
  <si>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</si>
  <si>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</si>
  <si>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</si>
  <si>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</si>
  <si>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</si>
  <si>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</si>
  <si>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</si>
  <si>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</si>
  <si>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</si>
  <si>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</si>
  <si>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</si>
  <si>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</si>
  <si>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</si>
  <si>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</si>
  <si>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</si>
  <si>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</si>
  <si>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</si>
  <si>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</si>
  <si>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</si>
  <si>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</si>
  <si>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</si>
  <si>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</si>
  <si>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</si>
  <si>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</si>
  <si>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</si>
  <si>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</si>
  <si>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</si>
  <si>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</si>
  <si>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</si>
  <si>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</si>
  <si>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</si>
  <si>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</si>
  <si>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</si>
  <si>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</si>
  <si>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</si>
  <si>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</si>
  <si>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</si>
  <si>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</si>
  <si>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</si>
  <si>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</si>
  <si>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</si>
  <si>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</si>
  <si>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</si>
  <si>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</si>
  <si>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</si>
  <si>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</si>
  <si>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</si>
  <si>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</si>
  <si>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</si>
  <si>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</si>
  <si>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</si>
  <si>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</si>
  <si>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</si>
  <si>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</si>
  <si>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</si>
  <si>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</si>
  <si>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</si>
  <si>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</si>
  <si>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</si>
  <si>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</si>
  <si>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</si>
  <si>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</si>
  <si>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</si>
  <si>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</si>
  <si>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</si>
  <si>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</si>
  <si>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</si>
  <si>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</si>
  <si>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</si>
  <si>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</si>
  <si>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</si>
  <si>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</si>
  <si>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</si>
  <si>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</si>
  <si>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</si>
  <si>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</si>
  <si>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</si>
  <si>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</si>
  <si>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</si>
  <si>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</si>
  <si>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</si>
  <si>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</si>
  <si>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</si>
  <si>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</si>
  <si>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</si>
  <si>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</si>
  <si>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</si>
  <si>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</si>
  <si>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</si>
  <si>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</si>
  <si>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</si>
  <si>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</si>
  <si>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</si>
  <si>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</si>
  <si>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</si>
  <si>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</si>
  <si>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</si>
  <si>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</si>
  <si>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</si>
  <si>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</si>
  <si>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</si>
  <si>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</si>
  <si>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</si>
  <si>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</si>
  <si>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</si>
  <si>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</si>
  <si>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</si>
  <si>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</si>
  <si>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</si>
  <si>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</si>
  <si>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</si>
  <si>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</si>
  <si>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</si>
  <si>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</si>
  <si>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</si>
  <si>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</si>
  <si>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</si>
  <si>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</si>
  <si>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</si>
  <si>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</si>
  <si>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</si>
  <si>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</si>
  <si>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</si>
  <si>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</si>
  <si>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</si>
  <si>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</si>
  <si>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</si>
  <si>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</si>
  <si>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</si>
  <si>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</si>
  <si>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</si>
  <si>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</si>
  <si>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</si>
  <si>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</si>
  <si>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</si>
  <si>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</si>
  <si>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</si>
  <si>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</si>
  <si>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</si>
  <si>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</si>
  <si>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</si>
  <si>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</si>
  <si>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</si>
  <si>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</si>
  <si>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</si>
  <si>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</si>
  <si>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</si>
  <si>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</si>
  <si>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</si>
  <si>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</si>
  <si>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</si>
  <si>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</si>
  <si>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</si>
  <si>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</si>
  <si>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</si>
  <si>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</si>
  <si>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</si>
  <si>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</si>
  <si>
    <t xml:space="preserve">Panamà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</si>
</sst>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opLeftCell="A21" workbookViewId="0">
      <selection activeCell="C34" sqref="C34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2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1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147</v>
      </c>
      <c r="E26" s="3"/>
    </row>
    <row r="27" spans="1:5" x14ac:dyDescent="0.2">
      <c r="A27" s="2" t="s">
        <v>29</v>
      </c>
      <c r="B27" s="2" t="s">
        <v>8</v>
      </c>
      <c r="C27" s="3" t="s">
        <v>123</v>
      </c>
    </row>
    <row r="28" spans="1:5" x14ac:dyDescent="0.2">
      <c r="A28" s="2" t="s">
        <v>29</v>
      </c>
      <c r="B28" s="2" t="s">
        <v>10</v>
      </c>
      <c r="C28" s="3" t="s">
        <v>135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14" t="s">
        <v>136</v>
      </c>
    </row>
    <row r="31" spans="1:5" x14ac:dyDescent="0.2">
      <c r="A31" s="2" t="s">
        <v>30</v>
      </c>
      <c r="B31" s="2" t="s">
        <v>10</v>
      </c>
      <c r="C31" s="14" t="s">
        <v>165</v>
      </c>
    </row>
    <row r="32" spans="1:5" x14ac:dyDescent="0.2">
      <c r="A32" s="2" t="s">
        <v>31</v>
      </c>
      <c r="B32" s="2" t="s">
        <v>5</v>
      </c>
      <c r="C32" s="3" t="s">
        <v>137</v>
      </c>
    </row>
    <row r="33" spans="1:3" x14ac:dyDescent="0.2">
      <c r="A33" s="2" t="s">
        <v>31</v>
      </c>
      <c r="B33" s="2" t="s">
        <v>8</v>
      </c>
      <c r="C33" s="3" t="s">
        <v>154</v>
      </c>
    </row>
    <row r="34" spans="1:3" x14ac:dyDescent="0.2">
      <c r="A34" s="2" t="s">
        <v>31</v>
      </c>
      <c r="B34" s="2" t="s">
        <v>10</v>
      </c>
      <c r="C34" s="3" t="s">
        <v>125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150</v>
      </c>
    </row>
    <row r="37" spans="1:3" x14ac:dyDescent="0.2">
      <c r="A37" s="2" t="s">
        <v>32</v>
      </c>
      <c r="B37" s="2" t="s">
        <v>10</v>
      </c>
      <c r="C37" s="3" t="s">
        <v>245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BR16" zoomScale="115" zoomScaleNormal="115" workbookViewId="0">
      <selection activeCell="BU51" sqref="BU5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13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11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7.5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31.5</v>
      </c>
    </row>
    <row r="3" spans="1:84" x14ac:dyDescent="0.2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13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13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9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37</v>
      </c>
    </row>
    <row r="4" spans="1:84" x14ac:dyDescent="0.2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13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12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7.5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32.5</v>
      </c>
    </row>
    <row r="5" spans="1:84" x14ac:dyDescent="0.2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12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14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36</v>
      </c>
    </row>
    <row r="6" spans="1:84" x14ac:dyDescent="0.2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11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12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9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34</v>
      </c>
    </row>
    <row r="7" spans="1:84" x14ac:dyDescent="0.2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16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10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7.5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35.5</v>
      </c>
    </row>
    <row r="8" spans="1:84" x14ac:dyDescent="0.2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10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8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10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12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9.5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33.5</v>
      </c>
    </row>
    <row r="10" spans="1:84" x14ac:dyDescent="0.2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10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12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9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33</v>
      </c>
    </row>
    <row r="11" spans="1:84" x14ac:dyDescent="0.2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11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14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34.5</v>
      </c>
    </row>
    <row r="12" spans="1:84" x14ac:dyDescent="0.2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8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9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29.5</v>
      </c>
    </row>
    <row r="13" spans="1:84" x14ac:dyDescent="0.2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11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8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9.5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30.5</v>
      </c>
    </row>
    <row r="14" spans="1:84" x14ac:dyDescent="0.2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13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10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9.5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32.5</v>
      </c>
    </row>
    <row r="15" spans="1:84" x14ac:dyDescent="0.2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13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13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6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32</v>
      </c>
    </row>
    <row r="16" spans="1:84" x14ac:dyDescent="0.2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15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10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7.5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32.5</v>
      </c>
    </row>
    <row r="17" spans="1:84" x14ac:dyDescent="0.2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12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6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9.5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29.5</v>
      </c>
    </row>
    <row r="18" spans="1:84" x14ac:dyDescent="0.2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11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11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31.5</v>
      </c>
    </row>
    <row r="19" spans="1:84" x14ac:dyDescent="0.2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13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11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8.5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1</v>
      </c>
      <c r="CE19">
        <f>IF(BR19='Resultats Reals'!$K$2,5,0)</f>
        <v>0</v>
      </c>
      <c r="CF19" s="7">
        <f t="shared" si="0"/>
        <v>33.5</v>
      </c>
    </row>
    <row r="20" spans="1:84" x14ac:dyDescent="0.2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11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9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10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32</v>
      </c>
    </row>
    <row r="21" spans="1:84" x14ac:dyDescent="0.2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11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9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32.5</v>
      </c>
    </row>
    <row r="22" spans="1:84" x14ac:dyDescent="0.2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10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7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8.5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27.5</v>
      </c>
    </row>
    <row r="23" spans="1:84" x14ac:dyDescent="0.2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10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7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8.5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2</v>
      </c>
      <c r="CE23">
        <f>IF(BR23='Resultats Reals'!$K$2,5,0)</f>
        <v>0</v>
      </c>
      <c r="CF23" s="7">
        <f t="shared" si="0"/>
        <v>27.5</v>
      </c>
    </row>
    <row r="24" spans="1:84" x14ac:dyDescent="0.2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13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15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35</v>
      </c>
    </row>
    <row r="25" spans="1:84" x14ac:dyDescent="0.2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10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7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8.5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25.5</v>
      </c>
    </row>
    <row r="26" spans="1:84" x14ac:dyDescent="0.2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11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12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33.5</v>
      </c>
    </row>
    <row r="27" spans="1:84" x14ac:dyDescent="0.2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9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10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29.5</v>
      </c>
    </row>
    <row r="28" spans="1:84" x14ac:dyDescent="0.2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14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8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9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33</v>
      </c>
    </row>
    <row r="29" spans="1:84" x14ac:dyDescent="0.2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12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8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9.5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31.5</v>
      </c>
    </row>
    <row r="30" spans="1:84" x14ac:dyDescent="0.2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11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10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9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30</v>
      </c>
    </row>
    <row r="31" spans="1:84" x14ac:dyDescent="0.2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10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10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9.5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31.5</v>
      </c>
    </row>
    <row r="32" spans="1:84" x14ac:dyDescent="0.2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12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13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7.5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34.5</v>
      </c>
    </row>
    <row r="33" spans="1:84" x14ac:dyDescent="0.2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11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9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30.5</v>
      </c>
    </row>
    <row r="34" spans="1:84" x14ac:dyDescent="0.2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13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13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7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35</v>
      </c>
    </row>
    <row r="35" spans="1:84" x14ac:dyDescent="0.2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10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12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9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2</v>
      </c>
      <c r="CE35">
        <f>IF(BR35='Resultats Reals'!$K$2,5,0)</f>
        <v>0</v>
      </c>
      <c r="CF35" s="7">
        <f t="shared" si="0"/>
        <v>33</v>
      </c>
    </row>
    <row r="36" spans="1:84" x14ac:dyDescent="0.2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12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11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9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2</v>
      </c>
      <c r="CE36">
        <f>IF(BR36='Resultats Reals'!$K$2,5,0)</f>
        <v>0</v>
      </c>
      <c r="CF36" s="7">
        <f t="shared" si="0"/>
        <v>34</v>
      </c>
    </row>
    <row r="37" spans="1:84" x14ac:dyDescent="0.2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12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14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9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35</v>
      </c>
    </row>
    <row r="38" spans="1:84" x14ac:dyDescent="0.2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11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11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9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33</v>
      </c>
    </row>
    <row r="39" spans="1:84" x14ac:dyDescent="0.2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15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8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9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32</v>
      </c>
    </row>
    <row r="40" spans="1:84" x14ac:dyDescent="0.2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13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9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9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33</v>
      </c>
    </row>
    <row r="41" spans="1:84" x14ac:dyDescent="0.2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13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11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7.5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31.5</v>
      </c>
    </row>
    <row r="42" spans="1:84" x14ac:dyDescent="0.2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12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15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8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37</v>
      </c>
    </row>
    <row r="43" spans="1:84" x14ac:dyDescent="0.2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11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13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9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2</v>
      </c>
      <c r="CE43">
        <f>IF(BR43='Resultats Reals'!$K$2,5,0)</f>
        <v>0</v>
      </c>
      <c r="CF43" s="7">
        <f t="shared" si="0"/>
        <v>35</v>
      </c>
    </row>
    <row r="44" spans="1:84" x14ac:dyDescent="0.2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13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13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7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35</v>
      </c>
    </row>
    <row r="45" spans="1:84" x14ac:dyDescent="0.2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12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10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2</v>
      </c>
      <c r="CE45">
        <f>IF(BR45='Resultats Reals'!$K$2,5,0)</f>
        <v>0</v>
      </c>
      <c r="CF45" s="7">
        <f t="shared" si="0"/>
        <v>31.5</v>
      </c>
    </row>
    <row r="46" spans="1:84" x14ac:dyDescent="0.2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13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13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7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33</v>
      </c>
    </row>
    <row r="47" spans="1:84" x14ac:dyDescent="0.2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9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9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9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27</v>
      </c>
    </row>
    <row r="48" spans="1:84" x14ac:dyDescent="0.2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17</v>
      </c>
      <c r="BT48" t="s">
        <v>15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12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12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6.5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2</v>
      </c>
      <c r="CE48">
        <f>IF(BR48='Resultats Reals'!$K$2,5,0)</f>
        <v>0</v>
      </c>
      <c r="CF48" s="7">
        <f t="shared" si="0"/>
        <v>32.5</v>
      </c>
    </row>
    <row r="49" spans="1:84" x14ac:dyDescent="0.2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10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12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8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223</v>
      </c>
      <c r="B1" t="s">
        <v>224</v>
      </c>
    </row>
    <row r="2" spans="1:2" x14ac:dyDescent="0.2">
      <c r="A2" s="12" t="s">
        <v>151</v>
      </c>
      <c r="B2" s="13">
        <v>40</v>
      </c>
    </row>
    <row r="3" spans="1:2" x14ac:dyDescent="0.2">
      <c r="A3" s="12" t="s">
        <v>159</v>
      </c>
      <c r="B3" s="13">
        <v>40</v>
      </c>
    </row>
    <row r="4" spans="1:2" x14ac:dyDescent="0.2">
      <c r="A4" s="12" t="s">
        <v>158</v>
      </c>
      <c r="B4" s="13">
        <v>39.5</v>
      </c>
    </row>
    <row r="5" spans="1:2" x14ac:dyDescent="0.2">
      <c r="A5" s="12" t="s">
        <v>203</v>
      </c>
      <c r="B5" s="13">
        <v>39.5</v>
      </c>
    </row>
    <row r="6" spans="1:2" x14ac:dyDescent="0.2">
      <c r="A6" s="12" t="s">
        <v>182</v>
      </c>
      <c r="B6" s="13">
        <v>39.5</v>
      </c>
    </row>
    <row r="7" spans="1:2" x14ac:dyDescent="0.2">
      <c r="A7" s="12" t="s">
        <v>215</v>
      </c>
      <c r="B7" s="13">
        <v>38.5</v>
      </c>
    </row>
    <row r="8" spans="1:2" x14ac:dyDescent="0.2">
      <c r="A8" s="12" t="s">
        <v>181</v>
      </c>
      <c r="B8" s="13">
        <v>38.5</v>
      </c>
    </row>
    <row r="9" spans="1:2" x14ac:dyDescent="0.2">
      <c r="A9" s="12" t="s">
        <v>177</v>
      </c>
      <c r="B9" s="13">
        <v>37.5</v>
      </c>
    </row>
    <row r="10" spans="1:2" x14ac:dyDescent="0.2">
      <c r="A10" s="12" t="s">
        <v>233</v>
      </c>
      <c r="B10" s="13">
        <v>37.5</v>
      </c>
    </row>
    <row r="11" spans="1:2" x14ac:dyDescent="0.2">
      <c r="A11" s="12" t="s">
        <v>190</v>
      </c>
      <c r="B11" s="13">
        <v>37.5</v>
      </c>
    </row>
    <row r="12" spans="1:2" x14ac:dyDescent="0.2">
      <c r="A12" s="12" t="s">
        <v>192</v>
      </c>
      <c r="B12" s="13">
        <v>37.5</v>
      </c>
    </row>
    <row r="13" spans="1:2" x14ac:dyDescent="0.2">
      <c r="A13" s="12" t="s">
        <v>236</v>
      </c>
      <c r="B13" s="13">
        <v>37</v>
      </c>
    </row>
    <row r="14" spans="1:2" x14ac:dyDescent="0.2">
      <c r="A14" s="12" t="s">
        <v>194</v>
      </c>
      <c r="B14" s="13">
        <v>37</v>
      </c>
    </row>
    <row r="15" spans="1:2" x14ac:dyDescent="0.2">
      <c r="A15" s="12" t="s">
        <v>160</v>
      </c>
      <c r="B15" s="13">
        <v>37</v>
      </c>
    </row>
    <row r="16" spans="1:2" x14ac:dyDescent="0.2">
      <c r="A16" s="12" t="s">
        <v>211</v>
      </c>
      <c r="B16" s="13">
        <v>36.5</v>
      </c>
    </row>
    <row r="17" spans="1:2" x14ac:dyDescent="0.2">
      <c r="A17" s="12" t="s">
        <v>187</v>
      </c>
      <c r="B17" s="13">
        <v>36.5</v>
      </c>
    </row>
    <row r="18" spans="1:2" x14ac:dyDescent="0.2">
      <c r="A18" s="12" t="s">
        <v>169</v>
      </c>
      <c r="B18" s="13">
        <v>36</v>
      </c>
    </row>
    <row r="19" spans="1:2" x14ac:dyDescent="0.2">
      <c r="A19" s="12" t="s">
        <v>207</v>
      </c>
      <c r="B19" s="13">
        <v>36</v>
      </c>
    </row>
    <row r="20" spans="1:2" x14ac:dyDescent="0.2">
      <c r="A20" s="12" t="s">
        <v>167</v>
      </c>
      <c r="B20" s="13">
        <v>36</v>
      </c>
    </row>
    <row r="21" spans="1:2" x14ac:dyDescent="0.2">
      <c r="A21" s="12" t="s">
        <v>185</v>
      </c>
      <c r="B21" s="13">
        <v>36</v>
      </c>
    </row>
    <row r="22" spans="1:2" x14ac:dyDescent="0.2">
      <c r="A22" s="12" t="s">
        <v>231</v>
      </c>
      <c r="B22" s="13">
        <v>35.5</v>
      </c>
    </row>
    <row r="23" spans="1:2" x14ac:dyDescent="0.2">
      <c r="A23" s="12" t="s">
        <v>204</v>
      </c>
      <c r="B23" s="13">
        <v>35.5</v>
      </c>
    </row>
    <row r="24" spans="1:2" x14ac:dyDescent="0.2">
      <c r="A24" s="12" t="s">
        <v>178</v>
      </c>
      <c r="B24" s="13">
        <v>35.5</v>
      </c>
    </row>
    <row r="25" spans="1:2" x14ac:dyDescent="0.2">
      <c r="A25" s="12" t="s">
        <v>155</v>
      </c>
      <c r="B25" s="13">
        <v>35.5</v>
      </c>
    </row>
    <row r="26" spans="1:2" x14ac:dyDescent="0.2">
      <c r="A26" s="12" t="s">
        <v>201</v>
      </c>
      <c r="B26" s="13">
        <v>35</v>
      </c>
    </row>
    <row r="27" spans="1:2" x14ac:dyDescent="0.2">
      <c r="A27" s="12" t="s">
        <v>115</v>
      </c>
      <c r="B27" s="13">
        <v>34.5</v>
      </c>
    </row>
    <row r="28" spans="1:2" x14ac:dyDescent="0.2">
      <c r="A28" s="12" t="s">
        <v>217</v>
      </c>
      <c r="B28" s="13">
        <v>34.5</v>
      </c>
    </row>
    <row r="29" spans="1:2" x14ac:dyDescent="0.2">
      <c r="A29" s="12" t="s">
        <v>172</v>
      </c>
      <c r="B29" s="13">
        <v>34</v>
      </c>
    </row>
    <row r="30" spans="1:2" x14ac:dyDescent="0.2">
      <c r="A30" s="12" t="s">
        <v>195</v>
      </c>
      <c r="B30" s="13">
        <v>34</v>
      </c>
    </row>
    <row r="31" spans="1:2" x14ac:dyDescent="0.2">
      <c r="A31" s="12" t="s">
        <v>232</v>
      </c>
      <c r="B31" s="13">
        <v>34</v>
      </c>
    </row>
    <row r="32" spans="1:2" x14ac:dyDescent="0.2">
      <c r="A32" s="12" t="s">
        <v>214</v>
      </c>
      <c r="B32" s="13">
        <v>33.5</v>
      </c>
    </row>
    <row r="33" spans="1:2" x14ac:dyDescent="0.2">
      <c r="A33" s="12" t="s">
        <v>171</v>
      </c>
      <c r="B33" s="13">
        <v>33.5</v>
      </c>
    </row>
    <row r="34" spans="1:2" x14ac:dyDescent="0.2">
      <c r="A34" s="12" t="s">
        <v>213</v>
      </c>
      <c r="B34" s="13">
        <v>33.5</v>
      </c>
    </row>
    <row r="35" spans="1:2" x14ac:dyDescent="0.2">
      <c r="A35" s="12" t="s">
        <v>188</v>
      </c>
      <c r="B35" s="13">
        <v>33</v>
      </c>
    </row>
    <row r="36" spans="1:2" x14ac:dyDescent="0.2">
      <c r="A36" s="12" t="s">
        <v>176</v>
      </c>
      <c r="B36" s="13">
        <v>33</v>
      </c>
    </row>
    <row r="37" spans="1:2" x14ac:dyDescent="0.2">
      <c r="A37" s="12" t="s">
        <v>173</v>
      </c>
      <c r="B37" s="13">
        <v>33</v>
      </c>
    </row>
    <row r="38" spans="1:2" x14ac:dyDescent="0.2">
      <c r="A38" s="12" t="s">
        <v>216</v>
      </c>
      <c r="B38" s="13">
        <v>32.5</v>
      </c>
    </row>
    <row r="39" spans="1:2" x14ac:dyDescent="0.2">
      <c r="A39" s="12" t="s">
        <v>209</v>
      </c>
      <c r="B39" s="13">
        <v>32.5</v>
      </c>
    </row>
    <row r="40" spans="1:2" x14ac:dyDescent="0.2">
      <c r="A40" s="12" t="s">
        <v>184</v>
      </c>
      <c r="B40" s="13">
        <v>32.5</v>
      </c>
    </row>
    <row r="41" spans="1:2" x14ac:dyDescent="0.2">
      <c r="A41" s="12" t="s">
        <v>218</v>
      </c>
      <c r="B41" s="13">
        <v>32.5</v>
      </c>
    </row>
    <row r="42" spans="1:2" x14ac:dyDescent="0.2">
      <c r="A42" s="12" t="s">
        <v>206</v>
      </c>
      <c r="B42" s="13">
        <v>32.5</v>
      </c>
    </row>
    <row r="43" spans="1:2" x14ac:dyDescent="0.2">
      <c r="A43" s="12" t="s">
        <v>210</v>
      </c>
      <c r="B43" s="13">
        <v>31.5</v>
      </c>
    </row>
    <row r="44" spans="1:2" x14ac:dyDescent="0.2">
      <c r="A44" s="12" t="s">
        <v>212</v>
      </c>
      <c r="B44" s="13">
        <v>31.5</v>
      </c>
    </row>
    <row r="45" spans="1:2" x14ac:dyDescent="0.2">
      <c r="A45" s="12" t="s">
        <v>179</v>
      </c>
      <c r="B45" s="13">
        <v>30</v>
      </c>
    </row>
    <row r="46" spans="1:2" x14ac:dyDescent="0.2">
      <c r="A46" s="12" t="s">
        <v>198</v>
      </c>
      <c r="B46" s="13">
        <v>29</v>
      </c>
    </row>
    <row r="47" spans="1:2" x14ac:dyDescent="0.2">
      <c r="A47" s="12" t="s">
        <v>235</v>
      </c>
      <c r="B47" s="13">
        <v>28</v>
      </c>
    </row>
    <row r="48" spans="1:2" x14ac:dyDescent="0.2">
      <c r="A48" s="12" t="s">
        <v>234</v>
      </c>
      <c r="B48" s="13">
        <v>28</v>
      </c>
    </row>
    <row r="49" spans="1:2" x14ac:dyDescent="0.2">
      <c r="A49" s="12" t="s">
        <v>162</v>
      </c>
      <c r="B49" s="13">
        <v>20.5</v>
      </c>
    </row>
    <row r="50" spans="1:2" x14ac:dyDescent="0.2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