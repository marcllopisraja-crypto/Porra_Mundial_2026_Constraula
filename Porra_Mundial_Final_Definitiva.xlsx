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57" documentId="11_77D7F8CFEFB5B4E2EEC1568F97B647076E5C66F0" xr6:coauthVersionLast="47" xr6:coauthVersionMax="47" xr10:uidLastSave="{B3BBE809-A3FD-4A06-97C2-74831282F8C9}"/>
  <bookViews>
    <workbookView minimized="1" xWindow="2688" yWindow="2688" windowWidth="17280" windowHeight="996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33" i="2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<sst xmlns="http://schemas.openxmlformats.org/spreadsheetml/2006/main" count="3833" uniqueCount="278">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</sst>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3.352468171295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1" maxValue="4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0" maxValue="5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1"/>
    <n v="0"/>
    <n v="0"/>
    <n v="0"/>
    <n v="0"/>
    <n v="0"/>
    <n v="4"/>
    <n v="0"/>
    <n v="55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2"/>
    <n v="0"/>
    <n v="0"/>
    <n v="0"/>
    <n v="0"/>
    <n v="0"/>
    <n v="4"/>
    <n v="0"/>
    <n v="56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2"/>
    <n v="0"/>
    <n v="0"/>
    <n v="0"/>
    <n v="0"/>
    <n v="0"/>
    <n v="4"/>
    <n v="0"/>
    <n v="53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2"/>
    <n v="0"/>
    <n v="0"/>
    <n v="0"/>
    <n v="0"/>
    <n v="0"/>
    <n v="4"/>
    <n v="0"/>
    <n v="55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2"/>
    <n v="0"/>
    <n v="0"/>
    <n v="0"/>
    <n v="0"/>
    <n v="0"/>
    <n v="4"/>
    <n v="0"/>
    <n v="58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2"/>
    <n v="0"/>
    <n v="0"/>
    <n v="0"/>
    <n v="0"/>
    <n v="0"/>
    <n v="4"/>
    <n v="0"/>
    <n v="56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2"/>
    <n v="0"/>
    <n v="0"/>
    <n v="0"/>
    <n v="0"/>
    <n v="0"/>
    <n v="4"/>
    <n v="0"/>
    <n v="57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3"/>
    <n v="0"/>
    <n v="0"/>
    <n v="0"/>
    <n v="0"/>
    <n v="0"/>
    <n v="4"/>
    <n v="0"/>
    <n v="52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3"/>
    <n v="0"/>
    <n v="0"/>
    <n v="0"/>
    <n v="0"/>
    <n v="0"/>
    <n v="4"/>
    <n v="0"/>
    <n v="56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2"/>
    <n v="0"/>
    <n v="0"/>
    <n v="0"/>
    <n v="0"/>
    <n v="0"/>
    <n v="0"/>
    <n v="0"/>
    <n v="58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2"/>
    <n v="0"/>
    <n v="0"/>
    <n v="0"/>
    <n v="0"/>
    <n v="0"/>
    <n v="4"/>
    <n v="0"/>
    <n v="56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2"/>
    <n v="0"/>
    <n v="0"/>
    <n v="0"/>
    <n v="0"/>
    <n v="0"/>
    <n v="0"/>
    <n v="0"/>
    <n v="49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2"/>
    <n v="0"/>
    <n v="0"/>
    <n v="0"/>
    <n v="0"/>
    <n v="0"/>
    <n v="4"/>
    <n v="0"/>
    <n v="56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3"/>
    <n v="0"/>
    <n v="0"/>
    <n v="0"/>
    <n v="0"/>
    <n v="0"/>
    <n v="4"/>
    <n v="0"/>
    <n v="56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2"/>
    <n v="0"/>
    <n v="0"/>
    <n v="0"/>
    <n v="0"/>
    <n v="0"/>
    <n v="4"/>
    <n v="0"/>
    <n v="53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3"/>
    <n v="0"/>
    <n v="0"/>
    <n v="0"/>
    <n v="0"/>
    <n v="0"/>
    <n v="4"/>
    <n v="0"/>
    <n v="45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1"/>
    <n v="0"/>
    <n v="0"/>
    <n v="0"/>
    <n v="0"/>
    <n v="0"/>
    <n v="3"/>
    <n v="0"/>
    <n v="53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1"/>
    <n v="0"/>
    <n v="0"/>
    <n v="0"/>
    <n v="0"/>
    <n v="0"/>
    <n v="4"/>
    <n v="0"/>
    <n v="53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2"/>
    <n v="0"/>
    <n v="0"/>
    <n v="0"/>
    <n v="0"/>
    <n v="0"/>
    <n v="3"/>
    <n v="0"/>
    <n v="56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2"/>
    <n v="0"/>
    <n v="0"/>
    <n v="0"/>
    <n v="0"/>
    <n v="0"/>
    <n v="2"/>
    <n v="0"/>
    <n v="51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2"/>
    <n v="0"/>
    <n v="0"/>
    <n v="0"/>
    <n v="0"/>
    <n v="0"/>
    <n v="0"/>
    <n v="0"/>
    <n v="55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1"/>
    <n v="0"/>
    <n v="0"/>
    <n v="0"/>
    <n v="0"/>
    <n v="0"/>
    <n v="2"/>
    <n v="0"/>
    <n v="53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2"/>
    <n v="0"/>
    <n v="0"/>
    <n v="0"/>
    <n v="0"/>
    <n v="0"/>
    <n v="3"/>
    <n v="0"/>
    <n v="54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3"/>
    <n v="0"/>
    <n v="0"/>
    <n v="0"/>
    <n v="0"/>
    <n v="0"/>
    <n v="4"/>
    <n v="0"/>
    <n v="53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3"/>
    <n v="0"/>
    <n v="0"/>
    <n v="0"/>
    <n v="0"/>
    <n v="0"/>
    <n v="4"/>
    <n v="0"/>
    <n v="53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2"/>
    <n v="0"/>
    <n v="0"/>
    <n v="0"/>
    <n v="0"/>
    <n v="0"/>
    <n v="0"/>
    <n v="0"/>
    <n v="49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3"/>
    <n v="0"/>
    <n v="0"/>
    <n v="0"/>
    <n v="0"/>
    <n v="0"/>
    <n v="4"/>
    <n v="0"/>
    <n v="57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3"/>
    <n v="0"/>
    <n v="0"/>
    <n v="0"/>
    <n v="0"/>
    <n v="0"/>
    <n v="4"/>
    <n v="0"/>
    <n v="52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3"/>
    <n v="0"/>
    <n v="0"/>
    <n v="0"/>
    <n v="0"/>
    <n v="0"/>
    <n v="4"/>
    <n v="0"/>
    <n v="55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2"/>
    <n v="0"/>
    <n v="0"/>
    <n v="0"/>
    <n v="0"/>
    <n v="0"/>
    <n v="2"/>
    <n v="0"/>
    <n v="53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2"/>
    <n v="0"/>
    <n v="0"/>
    <n v="0"/>
    <n v="0"/>
    <n v="0"/>
    <n v="4"/>
    <n v="0"/>
    <n v="51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3"/>
    <n v="0"/>
    <n v="0"/>
    <n v="0"/>
    <n v="0"/>
    <n v="0"/>
    <n v="3"/>
    <n v="0"/>
    <n v="54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3"/>
    <n v="0"/>
    <n v="0"/>
    <n v="0"/>
    <n v="0"/>
    <n v="0"/>
    <n v="4"/>
    <n v="0"/>
    <n v="51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2"/>
    <n v="0"/>
    <n v="0"/>
    <n v="0"/>
    <n v="0"/>
    <n v="0"/>
    <n v="4"/>
    <n v="0"/>
    <n v="50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2"/>
    <n v="0"/>
    <n v="0"/>
    <n v="0"/>
    <n v="0"/>
    <n v="0"/>
    <n v="4"/>
    <n v="0"/>
    <n v="51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2"/>
    <n v="0"/>
    <n v="0"/>
    <n v="0"/>
    <n v="0"/>
    <n v="0"/>
    <n v="4"/>
    <n v="0"/>
    <n v="51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3"/>
    <n v="0"/>
    <n v="0"/>
    <n v="0"/>
    <n v="0"/>
    <n v="0"/>
    <n v="0"/>
    <n v="0"/>
    <n v="51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3"/>
    <n v="0"/>
    <n v="0"/>
    <n v="0"/>
    <n v="0"/>
    <n v="0"/>
    <n v="3"/>
    <n v="0"/>
    <n v="51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2"/>
    <n v="0"/>
    <n v="0"/>
    <n v="0"/>
    <n v="0"/>
    <n v="0"/>
    <n v="0"/>
    <n v="0"/>
    <n v="48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1"/>
    <n v="0"/>
    <n v="0"/>
    <n v="0"/>
    <n v="0"/>
    <n v="0"/>
    <n v="4"/>
    <n v="0"/>
    <n v="46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2"/>
    <n v="0"/>
    <n v="0"/>
    <n v="0"/>
    <n v="0"/>
    <n v="0"/>
    <n v="4"/>
    <n v="0"/>
    <n v="49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2"/>
    <n v="0"/>
    <n v="0"/>
    <n v="0"/>
    <n v="0"/>
    <n v="0"/>
    <n v="0"/>
    <n v="0"/>
    <n v="49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3"/>
    <n v="0"/>
    <n v="0"/>
    <n v="0"/>
    <n v="0"/>
    <n v="0"/>
    <n v="0"/>
    <n v="0"/>
    <n v="48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2"/>
    <n v="0"/>
    <n v="0"/>
    <n v="0"/>
    <n v="0"/>
    <n v="0"/>
    <n v="2"/>
    <n v="0"/>
    <n v="47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1"/>
    <n v="0"/>
    <n v="0"/>
    <n v="0"/>
    <n v="0"/>
    <n v="0"/>
    <n v="0"/>
    <n v="0"/>
    <n v="47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2"/>
    <n v="0"/>
    <n v="0"/>
    <n v="0"/>
    <n v="0"/>
    <n v="0"/>
    <n v="0"/>
    <n v="0"/>
    <n v="45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2"/>
    <n v="0"/>
    <n v="0"/>
    <n v="0"/>
    <n v="0"/>
    <n v="0"/>
    <n v="0"/>
    <n v="0"/>
    <n v="43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4"/>
    <n v="0"/>
    <n v="0"/>
    <n v="0"/>
    <n v="0"/>
    <n v="0"/>
    <n v="0"/>
    <n v="0"/>
    <n v="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10"/>
    </i>
    <i>
      <x v="6"/>
    </i>
    <i>
      <x v="46"/>
    </i>
    <i>
      <x v="47"/>
    </i>
    <i>
      <x v="39"/>
    </i>
    <i>
      <x v="30"/>
    </i>
    <i>
      <x v="14"/>
    </i>
    <i>
      <x v="28"/>
    </i>
    <i>
      <x v="53"/>
    </i>
    <i>
      <x v="24"/>
    </i>
    <i>
      <x v="26"/>
    </i>
    <i>
      <x v="35"/>
    </i>
    <i>
      <x v="7"/>
    </i>
    <i>
      <x v="12"/>
    </i>
    <i>
      <x v="49"/>
    </i>
    <i>
      <x v="27"/>
    </i>
    <i>
      <x v="31"/>
    </i>
    <i>
      <x v="22"/>
    </i>
    <i>
      <x v="38"/>
    </i>
    <i>
      <x v="5"/>
    </i>
    <i>
      <x v="41"/>
    </i>
    <i>
      <x v="40"/>
    </i>
    <i>
      <x v="1"/>
    </i>
    <i>
      <x v="45"/>
    </i>
    <i>
      <x v="8"/>
    </i>
    <i>
      <x v="16"/>
    </i>
    <i>
      <x v="15"/>
    </i>
    <i>
      <x v="9"/>
    </i>
    <i>
      <x v="34"/>
    </i>
    <i>
      <x v="11"/>
    </i>
    <i>
      <x v="21"/>
    </i>
    <i>
      <x v="20"/>
    </i>
    <i>
      <x v="42"/>
    </i>
    <i>
      <x v="51"/>
    </i>
    <i>
      <x v="33"/>
    </i>
    <i>
      <x v="2"/>
    </i>
    <i>
      <x v="48"/>
    </i>
    <i>
      <x v="50"/>
    </i>
    <i>
      <x v="25"/>
    </i>
    <i>
      <x v="52"/>
    </i>
    <i>
      <x v="13"/>
    </i>
    <i>
      <x v="19"/>
    </i>
    <i>
      <x v="37"/>
    </i>
    <i>
      <x v="32"/>
    </i>
    <i>
      <x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E1" workbookViewId="0">
      <selection activeCell="O6" sqref="O6"/>
    </sheetView>
  </sheetViews>
  <sheetFormatPr baseColWidth="10" defaultColWidth="9.109375" defaultRowHeight="14.4" x14ac:dyDescent="0.3"/>
  <cols>
    <col min="1" max="1" width="6.88671875" bestFit="1" customWidth="1"/>
    <col min="2" max="2" width="8.21875" bestFit="1" customWidth="1"/>
    <col min="3" max="3" width="18.5546875" bestFit="1" customWidth="1"/>
    <col min="5" max="5" width="18.5546875" bestFit="1" customWidth="1"/>
    <col min="6" max="6" width="10.5546875" bestFit="1" customWidth="1"/>
    <col min="7" max="8" width="7.88671875" bestFit="1" customWidth="1"/>
    <col min="9" max="9" width="10.33203125" bestFit="1" customWidth="1"/>
    <col min="10" max="10" width="8.44140625" bestFit="1" customWidth="1"/>
    <col min="11" max="11" width="7.88671875" bestFit="1" customWidth="1"/>
    <col min="12" max="12" width="14.5546875" bestFit="1" customWidth="1"/>
    <col min="13" max="13" width="10" customWidth="1"/>
    <col min="14" max="14" width="20.5546875" bestFit="1" customWidth="1"/>
    <col min="15" max="15" width="8.21875" bestFit="1" customWidth="1"/>
    <col min="18" max="18" width="8.77734375" bestFit="1" customWidth="1"/>
    <col min="19" max="19" width="9.44140625" bestFit="1" customWidth="1"/>
    <col min="20" max="20" width="15.33203125" bestFit="1" customWidth="1"/>
  </cols>
  <sheetData>
    <row r="1" spans="1:15" x14ac:dyDescent="0.3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3">
      <c r="A2" s="1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99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3">
      <c r="A3" s="1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88</v>
      </c>
      <c r="G3" s="10" t="s">
        <v>229</v>
      </c>
      <c r="H3" s="10" t="s">
        <v>229</v>
      </c>
      <c r="I3" s="10" t="s">
        <v>229</v>
      </c>
      <c r="N3" t="s">
        <v>129</v>
      </c>
      <c r="O3" s="3">
        <v>6</v>
      </c>
    </row>
    <row r="4" spans="1:15" x14ac:dyDescent="0.3">
      <c r="A4" s="19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100</v>
      </c>
      <c r="G4" s="10" t="s">
        <v>229</v>
      </c>
      <c r="H4" s="10" t="s">
        <v>229</v>
      </c>
      <c r="N4" t="s">
        <v>162</v>
      </c>
      <c r="O4" s="3">
        <v>5</v>
      </c>
    </row>
    <row r="5" spans="1:15" x14ac:dyDescent="0.3">
      <c r="A5" s="1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113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3">
      <c r="A6" s="1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118</v>
      </c>
      <c r="G6" s="10" t="s">
        <v>229</v>
      </c>
      <c r="N6" t="s">
        <v>155</v>
      </c>
      <c r="O6" s="3">
        <v>5</v>
      </c>
    </row>
    <row r="7" spans="1:15" x14ac:dyDescent="0.3">
      <c r="A7" s="19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94</v>
      </c>
      <c r="G7" s="10" t="s">
        <v>229</v>
      </c>
      <c r="N7" t="s">
        <v>123</v>
      </c>
      <c r="O7" s="3">
        <v>2</v>
      </c>
    </row>
    <row r="8" spans="1:15" x14ac:dyDescent="0.3">
      <c r="A8" s="1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86</v>
      </c>
      <c r="G8" s="10" t="s">
        <v>229</v>
      </c>
      <c r="N8" t="s">
        <v>122</v>
      </c>
      <c r="O8" s="3">
        <v>1</v>
      </c>
    </row>
    <row r="9" spans="1:15" x14ac:dyDescent="0.3">
      <c r="A9" s="1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97</v>
      </c>
      <c r="G9" s="10" t="s">
        <v>229</v>
      </c>
      <c r="N9" t="s">
        <v>195</v>
      </c>
      <c r="O9" s="3">
        <v>0</v>
      </c>
    </row>
    <row r="10" spans="1:15" x14ac:dyDescent="0.3">
      <c r="A10" s="19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89</v>
      </c>
      <c r="N10" t="s">
        <v>212</v>
      </c>
      <c r="O10" s="3">
        <v>0</v>
      </c>
    </row>
    <row r="11" spans="1:15" x14ac:dyDescent="0.3">
      <c r="A11" s="1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92</v>
      </c>
      <c r="N11" t="s">
        <v>146</v>
      </c>
      <c r="O11" s="3">
        <v>0</v>
      </c>
    </row>
    <row r="12" spans="1:15" x14ac:dyDescent="0.3">
      <c r="A12" s="1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3">
      <c r="A13" s="19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3">
      <c r="A14" s="1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3">
      <c r="A15" s="1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3">
      <c r="A16" s="19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3">
      <c r="A17" s="1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3">
      <c r="A18" s="1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3">
      <c r="A19" s="19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3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3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3">
      <c r="A22" s="2" t="s">
        <v>237</v>
      </c>
      <c r="B22" s="2" t="s">
        <v>231</v>
      </c>
      <c r="C22" s="16" t="s">
        <v>116</v>
      </c>
      <c r="E22" s="14" t="str">
        <f>+C32</f>
        <v>Colòmbia</v>
      </c>
    </row>
    <row r="23" spans="1:6" x14ac:dyDescent="0.3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3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3">
      <c r="A25" s="2" t="s">
        <v>238</v>
      </c>
      <c r="B25" s="2" t="s">
        <v>231</v>
      </c>
      <c r="C25" s="16" t="s">
        <v>105</v>
      </c>
      <c r="E25" s="14" t="str">
        <f>+C36</f>
        <v>Croàcia</v>
      </c>
    </row>
    <row r="26" spans="1:6" x14ac:dyDescent="0.3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3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3">
      <c r="A28" s="2" t="s">
        <v>239</v>
      </c>
      <c r="B28" s="2" t="s">
        <v>231</v>
      </c>
      <c r="C28" s="16" t="s">
        <v>106</v>
      </c>
      <c r="E28" s="10" t="s">
        <v>121</v>
      </c>
    </row>
    <row r="29" spans="1:6" x14ac:dyDescent="0.3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3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3">
      <c r="A31" s="2" t="s">
        <v>240</v>
      </c>
      <c r="B31" s="2" t="s">
        <v>231</v>
      </c>
      <c r="C31" s="17" t="s">
        <v>119</v>
      </c>
      <c r="E31" s="10" t="s">
        <v>113</v>
      </c>
    </row>
    <row r="32" spans="1:6" x14ac:dyDescent="0.3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3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3">
      <c r="A34" s="2" t="s">
        <v>241</v>
      </c>
      <c r="B34" s="2" t="s">
        <v>231</v>
      </c>
      <c r="C34" s="16" t="s">
        <v>128</v>
      </c>
    </row>
    <row r="35" spans="1:5" x14ac:dyDescent="0.3">
      <c r="A35" s="2" t="s">
        <v>242</v>
      </c>
      <c r="B35" s="2" t="s">
        <v>228</v>
      </c>
      <c r="C35" s="3" t="s">
        <v>97</v>
      </c>
    </row>
    <row r="36" spans="1:5" x14ac:dyDescent="0.3">
      <c r="A36" s="2" t="s">
        <v>242</v>
      </c>
      <c r="B36" s="2" t="s">
        <v>230</v>
      </c>
      <c r="C36" s="3" t="s">
        <v>109</v>
      </c>
    </row>
    <row r="37" spans="1:5" x14ac:dyDescent="0.3">
      <c r="A37" s="2" t="s">
        <v>242</v>
      </c>
      <c r="B37" s="2" t="s">
        <v>231</v>
      </c>
      <c r="C37" s="16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zoomScaleNormal="60" zoomScaleSheetLayoutView="100" workbookViewId="0">
      <selection activeCell="E11" sqref="E11"/>
    </sheetView>
  </sheetViews>
  <sheetFormatPr baseColWidth="10" defaultColWidth="11.33203125" defaultRowHeight="14.4" x14ac:dyDescent="0.3"/>
  <cols>
    <col min="1" max="1" width="8.88671875" bestFit="1" customWidth="1"/>
    <col min="2" max="2" width="26.109375" bestFit="1" customWidth="1"/>
    <col min="5" max="5" width="23.109375" customWidth="1"/>
    <col min="9" max="9" width="51.6640625" customWidth="1"/>
  </cols>
  <sheetData>
    <row r="1" spans="1:5" x14ac:dyDescent="0.3">
      <c r="A1" s="18" t="s">
        <v>249</v>
      </c>
      <c r="B1" s="18" t="s">
        <v>250</v>
      </c>
      <c r="C1" s="18" t="s">
        <v>251</v>
      </c>
      <c r="D1" s="18" t="s">
        <v>252</v>
      </c>
      <c r="E1" s="18" t="s">
        <v>253</v>
      </c>
    </row>
    <row r="2" spans="1:5" x14ac:dyDescent="0.3">
      <c r="A2" t="s">
        <v>271</v>
      </c>
      <c r="B2" t="s">
        <v>255</v>
      </c>
      <c r="C2" s="20">
        <v>46201</v>
      </c>
      <c r="D2" s="21">
        <v>0.875</v>
      </c>
      <c r="E2" s="22" t="s">
        <v>254</v>
      </c>
    </row>
    <row r="3" spans="1:5" x14ac:dyDescent="0.3">
      <c r="A3" t="s">
        <v>271</v>
      </c>
      <c r="B3" t="s">
        <v>256</v>
      </c>
      <c r="C3" s="20">
        <v>46202</v>
      </c>
      <c r="D3" s="21">
        <v>0.79166666666666663</v>
      </c>
      <c r="E3" s="22" t="s">
        <v>272</v>
      </c>
    </row>
    <row r="4" spans="1:5" x14ac:dyDescent="0.3">
      <c r="A4" t="s">
        <v>271</v>
      </c>
      <c r="B4" t="s">
        <v>257</v>
      </c>
      <c r="C4" s="20">
        <v>46202</v>
      </c>
      <c r="D4" s="21">
        <v>0.9375</v>
      </c>
      <c r="E4" s="22" t="s">
        <v>273</v>
      </c>
    </row>
    <row r="5" spans="1:5" x14ac:dyDescent="0.3">
      <c r="A5" t="s">
        <v>271</v>
      </c>
      <c r="B5" t="s">
        <v>258</v>
      </c>
      <c r="C5" s="20">
        <v>46203</v>
      </c>
      <c r="D5" s="21">
        <v>0.125</v>
      </c>
      <c r="E5" s="22" t="s">
        <v>274</v>
      </c>
    </row>
    <row r="6" spans="1:5" x14ac:dyDescent="0.3">
      <c r="A6" t="s">
        <v>271</v>
      </c>
      <c r="B6" t="s">
        <v>259</v>
      </c>
      <c r="C6" s="20">
        <v>46203</v>
      </c>
      <c r="D6" s="21">
        <v>0.79166666666666663</v>
      </c>
      <c r="E6" s="22" t="s">
        <v>275</v>
      </c>
    </row>
    <row r="7" spans="1:5" x14ac:dyDescent="0.3">
      <c r="A7" t="s">
        <v>271</v>
      </c>
      <c r="B7" t="s">
        <v>260</v>
      </c>
      <c r="C7" s="20">
        <v>46203</v>
      </c>
      <c r="D7" s="21">
        <v>0.95833333333333337</v>
      </c>
      <c r="E7" s="22" t="s">
        <v>276</v>
      </c>
    </row>
    <row r="8" spans="1:5" x14ac:dyDescent="0.3">
      <c r="A8" t="s">
        <v>271</v>
      </c>
      <c r="B8" t="s">
        <v>261</v>
      </c>
      <c r="C8" s="20">
        <v>46204</v>
      </c>
      <c r="D8" s="21">
        <v>0.125</v>
      </c>
      <c r="E8" s="22" t="s">
        <v>165</v>
      </c>
    </row>
    <row r="9" spans="1:5" x14ac:dyDescent="0.3">
      <c r="A9" t="s">
        <v>271</v>
      </c>
      <c r="B9" t="s">
        <v>262</v>
      </c>
      <c r="C9" s="20">
        <v>46204</v>
      </c>
      <c r="D9" s="21">
        <v>0.75</v>
      </c>
      <c r="E9" s="22" t="s">
        <v>272</v>
      </c>
    </row>
    <row r="10" spans="1:5" x14ac:dyDescent="0.3">
      <c r="A10" t="s">
        <v>271</v>
      </c>
      <c r="B10" t="s">
        <v>263</v>
      </c>
      <c r="C10" s="20">
        <v>46204</v>
      </c>
      <c r="D10" s="21">
        <v>0.91666666666666663</v>
      </c>
      <c r="E10" s="22" t="s">
        <v>277</v>
      </c>
    </row>
    <row r="11" spans="1:5" x14ac:dyDescent="0.3">
      <c r="A11" t="s">
        <v>271</v>
      </c>
      <c r="B11" t="s">
        <v>264</v>
      </c>
      <c r="C11" s="20">
        <v>46205</v>
      </c>
      <c r="D11" s="21">
        <v>8.3333333333333329E-2</v>
      </c>
      <c r="E11" s="22" t="s">
        <v>165</v>
      </c>
    </row>
    <row r="12" spans="1:5" x14ac:dyDescent="0.3">
      <c r="A12" t="s">
        <v>271</v>
      </c>
      <c r="B12" t="s">
        <v>265</v>
      </c>
      <c r="C12" s="20">
        <v>46205</v>
      </c>
      <c r="D12" s="21">
        <v>0.875</v>
      </c>
      <c r="E12" t="s">
        <v>229</v>
      </c>
    </row>
    <row r="13" spans="1:5" x14ac:dyDescent="0.3">
      <c r="A13" t="s">
        <v>271</v>
      </c>
      <c r="B13" t="s">
        <v>266</v>
      </c>
      <c r="C13" s="20">
        <v>46206</v>
      </c>
      <c r="D13" s="21">
        <v>4.1666666666666664E-2</v>
      </c>
      <c r="E13" t="s">
        <v>229</v>
      </c>
    </row>
    <row r="14" spans="1:5" x14ac:dyDescent="0.3">
      <c r="A14" t="s">
        <v>271</v>
      </c>
      <c r="B14" t="s">
        <v>267</v>
      </c>
      <c r="C14" s="20">
        <v>46206</v>
      </c>
      <c r="D14" s="21">
        <v>0.20833333333333334</v>
      </c>
      <c r="E14" t="s">
        <v>229</v>
      </c>
    </row>
    <row r="15" spans="1:5" x14ac:dyDescent="0.3">
      <c r="A15" t="s">
        <v>271</v>
      </c>
      <c r="B15" t="s">
        <v>268</v>
      </c>
      <c r="C15" s="20">
        <v>46206</v>
      </c>
      <c r="D15" s="21">
        <v>0.83333333333333337</v>
      </c>
      <c r="E15" t="s">
        <v>229</v>
      </c>
    </row>
    <row r="16" spans="1:5" x14ac:dyDescent="0.3">
      <c r="A16" t="s">
        <v>271</v>
      </c>
      <c r="B16" t="s">
        <v>269</v>
      </c>
      <c r="C16" s="20">
        <v>46207</v>
      </c>
      <c r="D16" s="21">
        <v>0</v>
      </c>
      <c r="E16" t="s">
        <v>229</v>
      </c>
    </row>
    <row r="17" spans="1:5" x14ac:dyDescent="0.3">
      <c r="A17" t="s">
        <v>271</v>
      </c>
      <c r="B17" t="s">
        <v>270</v>
      </c>
      <c r="C17" s="20">
        <v>46207</v>
      </c>
      <c r="D17" s="21">
        <v>0.14583333333333334</v>
      </c>
      <c r="E17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09375" defaultRowHeight="14.4" x14ac:dyDescent="0.3"/>
  <cols>
    <col min="1" max="1" width="29.44140625" bestFit="1" customWidth="1"/>
    <col min="2" max="2" width="29.44140625" customWidth="1"/>
    <col min="3" max="3" width="15.21875" bestFit="1" customWidth="1"/>
    <col min="4" max="4" width="19.33203125" bestFit="1" customWidth="1"/>
    <col min="5" max="5" width="9.5546875" bestFit="1" customWidth="1"/>
    <col min="6" max="6" width="11.109375" bestFit="1" customWidth="1"/>
    <col min="7" max="7" width="11.88671875" bestFit="1" customWidth="1"/>
    <col min="8" max="8" width="12.5546875" bestFit="1" customWidth="1"/>
    <col min="9" max="9" width="13" bestFit="1" customWidth="1"/>
    <col min="10" max="10" width="9.5546875" bestFit="1" customWidth="1"/>
    <col min="11" max="11" width="8.88671875" bestFit="1" customWidth="1"/>
    <col min="12" max="12" width="9.6640625" bestFit="1" customWidth="1"/>
    <col min="13" max="13" width="9.5546875" bestFit="1" customWidth="1"/>
    <col min="14" max="14" width="10.21875" bestFit="1" customWidth="1"/>
    <col min="15" max="15" width="15.21875" bestFit="1" customWidth="1"/>
    <col min="16" max="16" width="19.33203125" bestFit="1" customWidth="1"/>
    <col min="17" max="17" width="10" bestFit="1" customWidth="1"/>
    <col min="18" max="18" width="11.109375" bestFit="1" customWidth="1"/>
    <col min="19" max="19" width="12" bestFit="1" customWidth="1"/>
    <col min="20" max="20" width="12.5546875" bestFit="1" customWidth="1"/>
    <col min="21" max="21" width="13" bestFit="1" customWidth="1"/>
    <col min="22" max="22" width="10" bestFit="1" customWidth="1"/>
    <col min="23" max="23" width="9.33203125" bestFit="1" customWidth="1"/>
    <col min="24" max="24" width="9.6640625" bestFit="1" customWidth="1"/>
    <col min="25" max="25" width="10" bestFit="1" customWidth="1"/>
    <col min="26" max="26" width="10.21875" bestFit="1" customWidth="1"/>
    <col min="27" max="27" width="15.21875" bestFit="1" customWidth="1"/>
    <col min="28" max="28" width="19.33203125" bestFit="1" customWidth="1"/>
    <col min="29" max="29" width="9.5546875" bestFit="1" customWidth="1"/>
    <col min="30" max="30" width="11.109375" bestFit="1" customWidth="1"/>
    <col min="31" max="31" width="11.88671875" bestFit="1" customWidth="1"/>
    <col min="32" max="32" width="12.5546875" bestFit="1" customWidth="1"/>
    <col min="33" max="33" width="13" bestFit="1" customWidth="1"/>
    <col min="34" max="34" width="13.6640625" bestFit="1" customWidth="1"/>
    <col min="35" max="35" width="8.88671875" bestFit="1" customWidth="1"/>
    <col min="36" max="36" width="9.33203125" bestFit="1" customWidth="1"/>
    <col min="37" max="37" width="10.77734375" bestFit="1" customWidth="1"/>
    <col min="38" max="38" width="9.44140625" bestFit="1" customWidth="1"/>
    <col min="39" max="40" width="13.21875" bestFit="1" customWidth="1"/>
    <col min="41" max="41" width="19.33203125" bestFit="1" customWidth="1"/>
    <col min="42" max="43" width="12.5546875" bestFit="1" customWidth="1"/>
    <col min="44" max="44" width="13.44140625" bestFit="1" customWidth="1"/>
    <col min="45" max="46" width="12.5546875" bestFit="1" customWidth="1"/>
    <col min="47" max="47" width="11.109375" bestFit="1" customWidth="1"/>
    <col min="48" max="48" width="12.5546875" bestFit="1" customWidth="1"/>
    <col min="49" max="49" width="15.21875" bestFit="1" customWidth="1"/>
    <col min="50" max="50" width="11.88671875" bestFit="1" customWidth="1"/>
    <col min="51" max="51" width="13.21875" bestFit="1" customWidth="1"/>
    <col min="52" max="52" width="12.5546875" bestFit="1" customWidth="1"/>
    <col min="53" max="54" width="11.109375" bestFit="1" customWidth="1"/>
    <col min="55" max="55" width="9.77734375" bestFit="1" customWidth="1"/>
    <col min="56" max="65" width="12.5546875" bestFit="1" customWidth="1"/>
    <col min="66" max="66" width="10.21875" bestFit="1" customWidth="1"/>
    <col min="67" max="68" width="12.5546875" bestFit="1" customWidth="1"/>
    <col min="69" max="69" width="10.21875" bestFit="1" customWidth="1"/>
    <col min="70" max="70" width="12.88671875" style="6" bestFit="1" customWidth="1"/>
    <col min="71" max="71" width="14.109375" bestFit="1" customWidth="1"/>
    <col min="72" max="72" width="15.218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33203125" bestFit="1" customWidth="1"/>
    <col min="78" max="78" width="12.109375" bestFit="1" customWidth="1"/>
    <col min="79" max="79" width="15.21875" bestFit="1" customWidth="1"/>
    <col min="80" max="80" width="13.5546875" bestFit="1" customWidth="1"/>
    <col min="81" max="81" width="10.7773437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6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6</v>
      </c>
      <c r="CE2">
        <f>IF(BR2='Resultats Reals'!$L$2,5,0)</f>
        <v>0</v>
      </c>
      <c r="CF2" s="7">
        <f t="shared" ref="CF2:CF49" si="0">SUM(BU2:CE2)</f>
        <v>62.5</v>
      </c>
    </row>
    <row r="3" spans="1:84" x14ac:dyDescent="0.3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6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62</v>
      </c>
    </row>
    <row r="4" spans="1:84" x14ac:dyDescent="0.3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8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6</v>
      </c>
      <c r="CE4">
        <f>IF(BR4='Resultats Reals'!$L$2,5,0)</f>
        <v>0</v>
      </c>
      <c r="CF4" s="7">
        <f t="shared" si="0"/>
        <v>61.5</v>
      </c>
    </row>
    <row r="5" spans="1:84" x14ac:dyDescent="0.3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7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6</v>
      </c>
      <c r="CE5">
        <f>IF(BR5='Resultats Reals'!$L$2,5,0)</f>
        <v>0</v>
      </c>
      <c r="CF5" s="7">
        <f t="shared" si="0"/>
        <v>62.5</v>
      </c>
    </row>
    <row r="6" spans="1:84" x14ac:dyDescent="0.3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5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6</v>
      </c>
      <c r="CE6">
        <f>IF(BR6='Resultats Reals'!$L$2,5,0)</f>
        <v>0</v>
      </c>
      <c r="CF6" s="7">
        <f t="shared" si="0"/>
        <v>63.5</v>
      </c>
    </row>
    <row r="7" spans="1:84" ht="15.75" customHeight="1" x14ac:dyDescent="0.3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7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6</v>
      </c>
      <c r="CE7">
        <f>IF(BR7='Resultats Reals'!$L$2,5,0)</f>
        <v>0</v>
      </c>
      <c r="CF7" s="7">
        <f t="shared" si="0"/>
        <v>63.5</v>
      </c>
    </row>
    <row r="8" spans="1:84" x14ac:dyDescent="0.3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7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6</v>
      </c>
      <c r="CE8">
        <f>IF(BR8='Resultats Reals'!$L$2,5,0)</f>
        <v>0</v>
      </c>
      <c r="CF8" s="7">
        <f t="shared" si="0"/>
        <v>64</v>
      </c>
    </row>
    <row r="9" spans="1:84" x14ac:dyDescent="0.3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7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58.5</v>
      </c>
    </row>
    <row r="10" spans="1:84" x14ac:dyDescent="0.3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7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62</v>
      </c>
    </row>
    <row r="11" spans="1:84" x14ac:dyDescent="0.3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8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64.5</v>
      </c>
    </row>
    <row r="12" spans="1:84" x14ac:dyDescent="0.3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7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6</v>
      </c>
      <c r="CE12">
        <f>IF(BR12='Resultats Reals'!$L$2,5,0)</f>
        <v>0</v>
      </c>
      <c r="CF12" s="7">
        <f t="shared" si="0"/>
        <v>63.5</v>
      </c>
    </row>
    <row r="13" spans="1:84" x14ac:dyDescent="0.3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7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54.5</v>
      </c>
    </row>
    <row r="14" spans="1:84" x14ac:dyDescent="0.3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6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6</v>
      </c>
      <c r="CE14">
        <f>IF(BR14='Resultats Reals'!$L$2,5,0)</f>
        <v>0</v>
      </c>
      <c r="CF14" s="7">
        <f t="shared" si="0"/>
        <v>62.5</v>
      </c>
    </row>
    <row r="15" spans="1:84" x14ac:dyDescent="0.3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8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6</v>
      </c>
      <c r="CE15">
        <f>IF(BR15='Resultats Reals'!$L$2,5,0)</f>
        <v>0</v>
      </c>
      <c r="CF15" s="7">
        <f t="shared" si="0"/>
        <v>63</v>
      </c>
    </row>
    <row r="16" spans="1:84" x14ac:dyDescent="0.3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5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6</v>
      </c>
      <c r="CE16">
        <f>IF(BR16='Resultats Reals'!$L$2,5,0)</f>
        <v>0</v>
      </c>
      <c r="CF16" s="7">
        <f t="shared" si="0"/>
        <v>58</v>
      </c>
    </row>
    <row r="17" spans="1:84" x14ac:dyDescent="0.3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8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6</v>
      </c>
      <c r="CE17">
        <f>IF(BR17='Resultats Reals'!$L$2,5,0)</f>
        <v>0</v>
      </c>
      <c r="CF17" s="7">
        <f t="shared" si="0"/>
        <v>52.5</v>
      </c>
    </row>
    <row r="18" spans="1:84" x14ac:dyDescent="0.3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6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5</v>
      </c>
      <c r="CE18">
        <f>IF(BR18='Resultats Reals'!$L$2,5,0)</f>
        <v>0</v>
      </c>
      <c r="CF18" s="7">
        <f t="shared" si="0"/>
        <v>60</v>
      </c>
    </row>
    <row r="19" spans="1:84" x14ac:dyDescent="0.3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6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6</v>
      </c>
      <c r="CE19">
        <f>IF(BR19='Resultats Reals'!$L$2,5,0)</f>
        <v>0</v>
      </c>
      <c r="CF19" s="7">
        <f t="shared" si="0"/>
        <v>60</v>
      </c>
    </row>
    <row r="20" spans="1:84" x14ac:dyDescent="0.3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7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5</v>
      </c>
      <c r="CE20">
        <f>IF(BR20='Resultats Reals'!$L$2,5,0)</f>
        <v>0</v>
      </c>
      <c r="CF20" s="7">
        <f t="shared" si="0"/>
        <v>63.5</v>
      </c>
    </row>
    <row r="21" spans="1:84" x14ac:dyDescent="0.3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7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56</v>
      </c>
    </row>
    <row r="22" spans="1:84" x14ac:dyDescent="0.3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7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60</v>
      </c>
    </row>
    <row r="23" spans="1:84" x14ac:dyDescent="0.3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5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57.5</v>
      </c>
    </row>
    <row r="24" spans="1:84" x14ac:dyDescent="0.3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7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5</v>
      </c>
      <c r="CE24">
        <f>IF(BR24='Resultats Reals'!$L$2,5,0)</f>
        <v>0</v>
      </c>
      <c r="CF24" s="7">
        <f t="shared" si="0"/>
        <v>61</v>
      </c>
    </row>
    <row r="25" spans="1:84" x14ac:dyDescent="0.3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7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6</v>
      </c>
      <c r="CE25">
        <f>IF(BR25='Resultats Reals'!$L$2,5,0)</f>
        <v>0</v>
      </c>
      <c r="CF25" s="7">
        <f t="shared" si="0"/>
        <v>59</v>
      </c>
    </row>
    <row r="26" spans="1:84" x14ac:dyDescent="0.3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9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6</v>
      </c>
      <c r="CE26">
        <f>IF(BR26='Resultats Reals'!$L$2,5,0)</f>
        <v>0</v>
      </c>
      <c r="CF26" s="7">
        <f t="shared" si="0"/>
        <v>61</v>
      </c>
    </row>
    <row r="27" spans="1:84" x14ac:dyDescent="0.3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7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55</v>
      </c>
    </row>
    <row r="28" spans="1:84" x14ac:dyDescent="0.3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7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61</v>
      </c>
    </row>
    <row r="29" spans="1:84" x14ac:dyDescent="0.3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6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57</v>
      </c>
    </row>
    <row r="30" spans="1:84" x14ac:dyDescent="0.3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8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62</v>
      </c>
    </row>
    <row r="31" spans="1:84" x14ac:dyDescent="0.3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6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57.5</v>
      </c>
    </row>
    <row r="32" spans="1:84" x14ac:dyDescent="0.3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6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57.5</v>
      </c>
    </row>
    <row r="33" spans="1:84" x14ac:dyDescent="0.3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8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5</v>
      </c>
      <c r="CE33">
        <f>IF(BR33='Resultats Reals'!$L$2,5,0)</f>
        <v>0</v>
      </c>
      <c r="CF33" s="7">
        <f t="shared" si="0"/>
        <v>61</v>
      </c>
    </row>
    <row r="34" spans="1:84" x14ac:dyDescent="0.3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6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6</v>
      </c>
      <c r="CE34">
        <f>IF(BR34='Resultats Reals'!$L$2,5,0)</f>
        <v>0</v>
      </c>
      <c r="CF34" s="7">
        <f t="shared" si="0"/>
        <v>56</v>
      </c>
    </row>
    <row r="35" spans="1:84" x14ac:dyDescent="0.3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7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6</v>
      </c>
      <c r="CE35">
        <f>IF(BR35='Resultats Reals'!$L$2,5,0)</f>
        <v>0</v>
      </c>
      <c r="CF35" s="7">
        <f t="shared" si="0"/>
        <v>57.5</v>
      </c>
    </row>
    <row r="36" spans="1:84" x14ac:dyDescent="0.3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5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6</v>
      </c>
      <c r="CE36">
        <f>IF(BR36='Resultats Reals'!$L$2,5,0)</f>
        <v>0</v>
      </c>
      <c r="CF36" s="7">
        <f t="shared" si="0"/>
        <v>56</v>
      </c>
    </row>
    <row r="37" spans="1:84" x14ac:dyDescent="0.3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6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6</v>
      </c>
      <c r="CE37">
        <f>IF(BR37='Resultats Reals'!$L$2,5,0)</f>
        <v>0</v>
      </c>
      <c r="CF37" s="7">
        <f t="shared" si="0"/>
        <v>57.5</v>
      </c>
    </row>
    <row r="38" spans="1:84" x14ac:dyDescent="0.3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9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57</v>
      </c>
    </row>
    <row r="39" spans="1:84" x14ac:dyDescent="0.3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6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5</v>
      </c>
      <c r="CE39">
        <f>IF(BR39='Resultats Reals'!$L$2,5,0)</f>
        <v>0</v>
      </c>
      <c r="CF39" s="7">
        <f t="shared" si="0"/>
        <v>56</v>
      </c>
    </row>
    <row r="40" spans="1:84" x14ac:dyDescent="0.3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6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53</v>
      </c>
    </row>
    <row r="41" spans="1:84" x14ac:dyDescent="0.3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5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51</v>
      </c>
    </row>
    <row r="42" spans="1:84" x14ac:dyDescent="0.3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5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6</v>
      </c>
      <c r="CE42">
        <f>IF(BR42='Resultats Reals'!$L$2,5,0)</f>
        <v>0</v>
      </c>
      <c r="CF42" s="7">
        <f t="shared" si="0"/>
        <v>54</v>
      </c>
    </row>
    <row r="43" spans="1:84" x14ac:dyDescent="0.3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7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54</v>
      </c>
    </row>
    <row r="44" spans="1:84" x14ac:dyDescent="0.3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6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51</v>
      </c>
    </row>
    <row r="45" spans="1:84" x14ac:dyDescent="0.3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7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52.5</v>
      </c>
    </row>
    <row r="46" spans="1:84" x14ac:dyDescent="0.3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7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53.5</v>
      </c>
    </row>
    <row r="47" spans="1:84" x14ac:dyDescent="0.3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6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49</v>
      </c>
    </row>
    <row r="48" spans="1:84" x14ac:dyDescent="0.3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7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49.5</v>
      </c>
    </row>
    <row r="49" spans="1:84" x14ac:dyDescent="0.3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6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42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7734375" defaultRowHeight="14.4" x14ac:dyDescent="0.3"/>
  <cols>
    <col min="1" max="1" width="25.33203125" bestFit="1" customWidth="1"/>
    <col min="2" max="2" width="8.33203125" bestFit="1" customWidth="1"/>
  </cols>
  <sheetData>
    <row r="1" spans="1:2" x14ac:dyDescent="0.3">
      <c r="A1" s="11" t="s">
        <v>243</v>
      </c>
      <c r="B1" t="s">
        <v>244</v>
      </c>
    </row>
    <row r="2" spans="1:2" x14ac:dyDescent="0.3">
      <c r="A2" s="12" t="s">
        <v>150</v>
      </c>
      <c r="B2">
        <v>58.5</v>
      </c>
    </row>
    <row r="3" spans="1:2" x14ac:dyDescent="0.3">
      <c r="A3" s="12" t="s">
        <v>210</v>
      </c>
      <c r="B3">
        <v>58.5</v>
      </c>
    </row>
    <row r="4" spans="1:2" x14ac:dyDescent="0.3">
      <c r="A4" s="12" t="s">
        <v>166</v>
      </c>
      <c r="B4">
        <v>57</v>
      </c>
    </row>
    <row r="5" spans="1:2" x14ac:dyDescent="0.3">
      <c r="A5" s="12" t="s">
        <v>124</v>
      </c>
      <c r="B5">
        <v>57</v>
      </c>
    </row>
    <row r="6" spans="1:2" x14ac:dyDescent="0.3">
      <c r="A6" s="12" t="s">
        <v>138</v>
      </c>
      <c r="B6">
        <v>56.5</v>
      </c>
    </row>
    <row r="7" spans="1:2" x14ac:dyDescent="0.3">
      <c r="A7" s="12" t="s">
        <v>189</v>
      </c>
      <c r="B7">
        <v>56.5</v>
      </c>
    </row>
    <row r="8" spans="1:2" x14ac:dyDescent="0.3">
      <c r="A8" s="12" t="s">
        <v>169</v>
      </c>
      <c r="B8">
        <v>56.5</v>
      </c>
    </row>
    <row r="9" spans="1:2" x14ac:dyDescent="0.3">
      <c r="A9" s="12" t="s">
        <v>209</v>
      </c>
      <c r="B9">
        <v>56.5</v>
      </c>
    </row>
    <row r="10" spans="1:2" x14ac:dyDescent="0.3">
      <c r="A10" s="12" t="s">
        <v>184</v>
      </c>
      <c r="B10">
        <v>56</v>
      </c>
    </row>
    <row r="11" spans="1:2" x14ac:dyDescent="0.3">
      <c r="A11" s="12" t="s">
        <v>208</v>
      </c>
      <c r="B11">
        <v>56</v>
      </c>
    </row>
    <row r="12" spans="1:2" x14ac:dyDescent="0.3">
      <c r="A12" s="12" t="s">
        <v>135</v>
      </c>
      <c r="B12">
        <v>56</v>
      </c>
    </row>
    <row r="13" spans="1:2" x14ac:dyDescent="0.3">
      <c r="A13" s="12" t="s">
        <v>174</v>
      </c>
      <c r="B13">
        <v>55.5</v>
      </c>
    </row>
    <row r="14" spans="1:2" x14ac:dyDescent="0.3">
      <c r="A14" s="12" t="s">
        <v>205</v>
      </c>
      <c r="B14">
        <v>55.5</v>
      </c>
    </row>
    <row r="15" spans="1:2" x14ac:dyDescent="0.3">
      <c r="A15" s="12" t="s">
        <v>176</v>
      </c>
      <c r="B15">
        <v>55</v>
      </c>
    </row>
    <row r="16" spans="1:2" x14ac:dyDescent="0.3">
      <c r="A16" s="12" t="s">
        <v>159</v>
      </c>
      <c r="B16">
        <v>55</v>
      </c>
    </row>
    <row r="17" spans="1:2" x14ac:dyDescent="0.3">
      <c r="A17" s="12" t="s">
        <v>192</v>
      </c>
      <c r="B17">
        <v>54</v>
      </c>
    </row>
    <row r="18" spans="1:2" x14ac:dyDescent="0.3">
      <c r="A18" s="12" t="s">
        <v>206</v>
      </c>
      <c r="B18">
        <v>54</v>
      </c>
    </row>
    <row r="19" spans="1:2" x14ac:dyDescent="0.3">
      <c r="A19" s="12" t="s">
        <v>178</v>
      </c>
      <c r="B19">
        <v>53.5</v>
      </c>
    </row>
    <row r="20" spans="1:2" x14ac:dyDescent="0.3">
      <c r="A20" s="12" t="s">
        <v>187</v>
      </c>
      <c r="B20">
        <v>53.5</v>
      </c>
    </row>
    <row r="21" spans="1:2" x14ac:dyDescent="0.3">
      <c r="A21" s="12" t="s">
        <v>214</v>
      </c>
      <c r="B21">
        <v>53.5</v>
      </c>
    </row>
    <row r="22" spans="1:2" x14ac:dyDescent="0.3">
      <c r="A22" s="12" t="s">
        <v>196</v>
      </c>
      <c r="B22">
        <v>53</v>
      </c>
    </row>
    <row r="23" spans="1:2" x14ac:dyDescent="0.3">
      <c r="A23" s="12" t="s">
        <v>181</v>
      </c>
      <c r="B23">
        <v>53</v>
      </c>
    </row>
    <row r="24" spans="1:2" x14ac:dyDescent="0.3">
      <c r="A24" s="12" t="s">
        <v>191</v>
      </c>
      <c r="B24">
        <v>53</v>
      </c>
    </row>
    <row r="25" spans="1:2" x14ac:dyDescent="0.3">
      <c r="A25" s="12" t="s">
        <v>137</v>
      </c>
      <c r="B25">
        <v>53</v>
      </c>
    </row>
    <row r="26" spans="1:2" x14ac:dyDescent="0.3">
      <c r="A26" s="12" t="s">
        <v>147</v>
      </c>
      <c r="B26">
        <v>53</v>
      </c>
    </row>
    <row r="27" spans="1:2" x14ac:dyDescent="0.3">
      <c r="A27" s="12" t="s">
        <v>185</v>
      </c>
      <c r="B27">
        <v>52.5</v>
      </c>
    </row>
    <row r="28" spans="1:2" x14ac:dyDescent="0.3">
      <c r="A28" s="12" t="s">
        <v>170</v>
      </c>
      <c r="B28">
        <v>52</v>
      </c>
    </row>
    <row r="29" spans="1:2" x14ac:dyDescent="0.3">
      <c r="A29" s="12" t="s">
        <v>168</v>
      </c>
      <c r="B29">
        <v>51.5</v>
      </c>
    </row>
    <row r="30" spans="1:2" x14ac:dyDescent="0.3">
      <c r="A30" s="12" t="s">
        <v>179</v>
      </c>
      <c r="B30">
        <v>51.5</v>
      </c>
    </row>
    <row r="31" spans="1:2" x14ac:dyDescent="0.3">
      <c r="A31" s="12" t="s">
        <v>84</v>
      </c>
      <c r="B31">
        <v>51</v>
      </c>
    </row>
    <row r="32" spans="1:2" x14ac:dyDescent="0.3">
      <c r="A32" s="12" t="s">
        <v>202</v>
      </c>
      <c r="B32">
        <v>51</v>
      </c>
    </row>
    <row r="33" spans="1:2" x14ac:dyDescent="0.3">
      <c r="A33" s="12" t="s">
        <v>153</v>
      </c>
      <c r="B33">
        <v>51</v>
      </c>
    </row>
    <row r="34" spans="1:2" x14ac:dyDescent="0.3">
      <c r="A34" s="12" t="s">
        <v>203</v>
      </c>
      <c r="B34">
        <v>51</v>
      </c>
    </row>
    <row r="35" spans="1:2" x14ac:dyDescent="0.3">
      <c r="A35" s="12" t="s">
        <v>172</v>
      </c>
      <c r="B35">
        <v>51</v>
      </c>
    </row>
    <row r="36" spans="1:2" x14ac:dyDescent="0.3">
      <c r="A36" s="12" t="s">
        <v>152</v>
      </c>
      <c r="B36">
        <v>50.5</v>
      </c>
    </row>
    <row r="37" spans="1:2" x14ac:dyDescent="0.3">
      <c r="A37" s="12" t="s">
        <v>157</v>
      </c>
      <c r="B37">
        <v>49.5</v>
      </c>
    </row>
    <row r="38" spans="1:2" x14ac:dyDescent="0.3">
      <c r="A38" s="12" t="s">
        <v>156</v>
      </c>
      <c r="B38">
        <v>49</v>
      </c>
    </row>
    <row r="39" spans="1:2" x14ac:dyDescent="0.3">
      <c r="A39" s="12" t="s">
        <v>163</v>
      </c>
      <c r="B39">
        <v>49</v>
      </c>
    </row>
    <row r="40" spans="1:2" x14ac:dyDescent="0.3">
      <c r="A40" s="12" t="s">
        <v>130</v>
      </c>
      <c r="B40">
        <v>49</v>
      </c>
    </row>
    <row r="41" spans="1:2" x14ac:dyDescent="0.3">
      <c r="A41" s="12" t="s">
        <v>175</v>
      </c>
      <c r="B41">
        <v>48</v>
      </c>
    </row>
    <row r="42" spans="1:2" x14ac:dyDescent="0.3">
      <c r="A42" s="12" t="s">
        <v>215</v>
      </c>
      <c r="B42">
        <v>48</v>
      </c>
    </row>
    <row r="43" spans="1:2" x14ac:dyDescent="0.3">
      <c r="A43" s="12" t="s">
        <v>193</v>
      </c>
      <c r="B43">
        <v>47.5</v>
      </c>
    </row>
    <row r="44" spans="1:2" x14ac:dyDescent="0.3">
      <c r="A44" s="12" t="s">
        <v>182</v>
      </c>
      <c r="B44">
        <v>47.5</v>
      </c>
    </row>
    <row r="45" spans="1:2" x14ac:dyDescent="0.3">
      <c r="A45" s="12" t="s">
        <v>160</v>
      </c>
      <c r="B45">
        <v>46</v>
      </c>
    </row>
    <row r="46" spans="1:2" x14ac:dyDescent="0.3">
      <c r="A46" s="12" t="s">
        <v>154</v>
      </c>
      <c r="B46">
        <v>45.5</v>
      </c>
    </row>
    <row r="47" spans="1:2" x14ac:dyDescent="0.3">
      <c r="A47" s="12" t="s">
        <v>198</v>
      </c>
      <c r="B47">
        <v>45</v>
      </c>
    </row>
    <row r="48" spans="1:2" x14ac:dyDescent="0.3">
      <c r="A48" s="12" t="s">
        <v>213</v>
      </c>
      <c r="B48">
        <v>43.5</v>
      </c>
    </row>
    <row r="49" spans="1:2" x14ac:dyDescent="0.3">
      <c r="A49" s="12" t="s">
        <v>140</v>
      </c>
      <c r="B49">
        <v>40</v>
      </c>
    </row>
    <row r="50" spans="1:2" x14ac:dyDescent="0.3">
      <c r="A50" s="12" t="s">
        <v>245</v>
      </c>
      <c r="B50">
        <v>2500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baseColWidth="10" defaultColWidth="10.77734375" defaultRowHeight="14.4" x14ac:dyDescent="0.3"/>
  <cols>
    <col min="1" max="1" width="19.33203125" bestFit="1" customWidth="1"/>
    <col min="2" max="3" width="18.77734375" bestFit="1" customWidth="1"/>
  </cols>
  <sheetData>
    <row r="1" spans="1:3" x14ac:dyDescent="0.3">
      <c r="A1" t="s">
        <v>90</v>
      </c>
      <c r="B1" s="15" t="s">
        <v>247</v>
      </c>
      <c r="C1" s="15" t="s">
        <v>248</v>
      </c>
    </row>
    <row r="2" spans="1:3" x14ac:dyDescent="0.3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3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3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3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3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3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3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3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3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3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3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3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3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3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3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3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3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3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3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3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3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3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3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3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3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3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3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3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3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3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3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3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3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3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3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3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3">
      <c r="A38" t="s">
        <v>128</v>
      </c>
      <c r="B38" s="2"/>
    </row>
    <row r="39" spans="1:3" x14ac:dyDescent="0.3">
      <c r="A39" t="s">
        <v>110</v>
      </c>
    </row>
    <row r="40" spans="1:3" x14ac:dyDescent="0.3">
      <c r="A40" t="s">
        <v>106</v>
      </c>
    </row>
    <row r="41" spans="1:3" x14ac:dyDescent="0.3">
      <c r="A41" t="s">
        <v>131</v>
      </c>
    </row>
    <row r="42" spans="1:3" x14ac:dyDescent="0.3">
      <c r="A42" t="s">
        <v>103</v>
      </c>
    </row>
    <row r="43" spans="1:3" x14ac:dyDescent="0.3">
      <c r="A43" t="s">
        <v>87</v>
      </c>
    </row>
    <row r="44" spans="1:3" x14ac:dyDescent="0.3">
      <c r="A44" t="s">
        <v>132</v>
      </c>
    </row>
    <row r="45" spans="1:3" x14ac:dyDescent="0.3">
      <c r="A45" t="s">
        <v>101</v>
      </c>
    </row>
    <row r="46" spans="1:3" x14ac:dyDescent="0.3">
      <c r="A46" t="s">
        <v>105</v>
      </c>
    </row>
    <row r="47" spans="1:3" x14ac:dyDescent="0.3">
      <c r="A47" t="s">
        <v>120</v>
      </c>
    </row>
    <row r="51" spans="1:1" x14ac:dyDescent="0.3">
      <c r="A51" t="str">
        <f>+'Resultats Reals'!C4</f>
        <v>Corea del Sud</v>
      </c>
    </row>
    <row r="52" spans="1:1" x14ac:dyDescent="0.3">
      <c r="A52" t="str">
        <f>+'Resultats Reals'!C7</f>
        <v>Bòsnia i Hercegovina</v>
      </c>
    </row>
    <row r="53" spans="1:1" x14ac:dyDescent="0.3">
      <c r="A53" t="str">
        <f>+'Resultats Reals'!C10</f>
        <v>Escòcia</v>
      </c>
    </row>
    <row r="54" spans="1:1" x14ac:dyDescent="0.3">
      <c r="A54" t="str">
        <f>+'Resultats Reals'!C13</f>
        <v>Paraguai</v>
      </c>
    </row>
    <row r="55" spans="1:1" x14ac:dyDescent="0.3">
      <c r="A55" t="str">
        <f>+'Resultats Reals'!C16</f>
        <v>Equador</v>
      </c>
    </row>
    <row r="56" spans="1:1" x14ac:dyDescent="0.3">
      <c r="A56" t="str">
        <f>+'Resultats Reals'!C19</f>
        <v>Suècia</v>
      </c>
    </row>
    <row r="57" spans="1:1" x14ac:dyDescent="0.3">
      <c r="A57" t="str">
        <f>+'Resultats Reals'!C22</f>
        <v>Iran</v>
      </c>
    </row>
    <row r="58" spans="1:1" x14ac:dyDescent="0.3">
      <c r="A58" t="str">
        <f>+'Resultats Reals'!C25</f>
        <v>Uruguai</v>
      </c>
    </row>
    <row r="59" spans="1:1" x14ac:dyDescent="0.3">
      <c r="A59" t="str">
        <f>+'Resultats Reals'!C28</f>
        <v>Senegal</v>
      </c>
    </row>
    <row r="60" spans="1:1" x14ac:dyDescent="0.3">
      <c r="A60" t="str">
        <f>+'Resultats Reals'!C31</f>
        <v>Algèria</v>
      </c>
    </row>
    <row r="61" spans="1:1" x14ac:dyDescent="0.3">
      <c r="A61" t="str">
        <f>+'Resultats Reals'!C34</f>
        <v>RD Congo</v>
      </c>
    </row>
    <row r="62" spans="1:1" x14ac:dyDescent="0.3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2026-07-02T11:48:06Z</dcterms:modified>
</cp:coreProperties>
</file>