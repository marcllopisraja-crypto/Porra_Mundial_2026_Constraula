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06" documentId="11_77D7F8CFEFB5B4E2EEC1568F97B647076E5C66F0" xr6:coauthVersionLast="47" xr6:coauthVersionMax="47" xr10:uidLastSave="{5CD0779D-83E5-4CF4-9C55-B3EDFA0576D0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C19" i="5" s="1" a="1"/>
  <c r="C19" i="5" s="1"/>
  <c r="E18" i="1"/>
  <c r="E17" i="1"/>
  <c r="C17" i="5" s="1" a="1"/>
  <c r="C17" i="5" s="1"/>
  <c r="E16" i="1"/>
  <c r="E15" i="1"/>
  <c r="E14" i="1"/>
  <c r="E13" i="1"/>
  <c r="C13" i="5" s="1" a="1"/>
  <c r="C13" i="5" s="1"/>
  <c r="E12" i="1"/>
  <c r="E11" i="1"/>
  <c r="C11" i="5" s="1" a="1"/>
  <c r="C11" i="5" s="1"/>
  <c r="E10" i="1"/>
  <c r="E9" i="1"/>
  <c r="C9" i="5" s="1" a="1"/>
  <c r="C9" i="5" s="1"/>
  <c r="E8" i="1"/>
  <c r="E7" i="1"/>
  <c r="E6" i="1"/>
  <c r="E5" i="1"/>
  <c r="E4" i="1"/>
  <c r="E3" i="1"/>
  <c r="E2" i="1"/>
  <c r="C33" i="5" a="1"/>
  <c r="C33" i="5" s="1"/>
  <c r="C32" i="5" a="1"/>
  <c r="C32" i="5" s="1"/>
  <c r="C31" i="5" a="1"/>
  <c r="C31" i="5" s="1"/>
  <c r="C30" i="5" a="1"/>
  <c r="C30" i="5" s="1"/>
  <c r="C29" i="5" a="1"/>
  <c r="C29" i="5" s="1"/>
  <c r="C28" i="5" a="1"/>
  <c r="C28" i="5" s="1"/>
  <c r="C27" i="5" a="1"/>
  <c r="C27" i="5" s="1"/>
  <c r="C26" i="5" a="1"/>
  <c r="C26" i="5" s="1"/>
  <c r="C25" i="5" a="1"/>
  <c r="C25" i="5" s="1"/>
  <c r="C24" i="5" a="1"/>
  <c r="C24" i="5" s="1"/>
  <c r="C23" i="5" a="1"/>
  <c r="C23" i="5" s="1"/>
  <c r="C22" i="5" a="1"/>
  <c r="C22" i="5" s="1"/>
  <c r="C21" i="5" a="1"/>
  <c r="C21" i="5" s="1"/>
  <c r="C20" i="5" a="1"/>
  <c r="C20" i="5" s="1"/>
  <c r="C18" i="5" a="1"/>
  <c r="C18" i="5" s="1"/>
  <c r="C16" i="5" a="1"/>
  <c r="C16" i="5" s="1"/>
  <c r="C15" i="5" a="1"/>
  <c r="C15" i="5" s="1"/>
  <c r="C14" i="5" a="1"/>
  <c r="C14" i="5" s="1"/>
  <c r="C12" i="5" a="1"/>
  <c r="C12" i="5" s="1"/>
  <c r="C10" i="5" a="1"/>
  <c r="C10" i="5" s="1"/>
  <c r="C7" i="5" a="1"/>
  <c r="C7" i="5" s="1"/>
  <c r="C6" i="5" a="1"/>
  <c r="C6" i="5" s="1"/>
  <c r="C3" i="5" a="1"/>
  <c r="C3" i="5" s="1"/>
  <c r="C2" i="5" a="1"/>
  <c r="C2" i="5" s="1"/>
  <c r="B37" i="5" a="1"/>
  <c r="B37" i="5" s="1"/>
  <c r="B36" i="5" a="1"/>
  <c r="B36" i="5" s="1"/>
  <c r="B35" i="5" a="1"/>
  <c r="B35" i="5" s="1"/>
  <c r="B34" i="5" a="1"/>
  <c r="B34" i="5" s="1"/>
  <c r="B33" i="5" a="1"/>
  <c r="B33" i="5" s="1"/>
  <c r="B32" i="5" a="1"/>
  <c r="B32" i="5" s="1"/>
  <c r="B31" i="5" a="1"/>
  <c r="B31" i="5" s="1"/>
  <c r="B30" i="5" a="1"/>
  <c r="B30" i="5" s="1"/>
  <c r="B29" i="5" a="1"/>
  <c r="B29" i="5" s="1"/>
  <c r="B28" i="5" a="1"/>
  <c r="B28" i="5" s="1"/>
  <c r="B27" i="5" a="1"/>
  <c r="B27" i="5" s="1"/>
  <c r="B26" i="5" a="1"/>
  <c r="B26" i="5" s="1"/>
  <c r="B25" i="5" a="1"/>
  <c r="B25" i="5" s="1"/>
  <c r="B24" i="5" a="1"/>
  <c r="B24" i="5" s="1"/>
  <c r="B23" i="5" a="1"/>
  <c r="B23" i="5" s="1"/>
  <c r="B22" i="5" a="1"/>
  <c r="B22" i="5" s="1"/>
  <c r="B21" i="5" a="1"/>
  <c r="B21" i="5" s="1"/>
  <c r="B20" i="5" a="1"/>
  <c r="B20" i="5" s="1"/>
  <c r="B19" i="5" a="1"/>
  <c r="B19" i="5" s="1"/>
  <c r="B18" i="5" a="1"/>
  <c r="B18" i="5" s="1"/>
  <c r="B17" i="5" a="1"/>
  <c r="B17" i="5" s="1"/>
  <c r="B16" i="5" a="1"/>
  <c r="B16" i="5" s="1"/>
  <c r="B15" i="5" a="1"/>
  <c r="B15" i="5" s="1"/>
  <c r="B14" i="5" a="1"/>
  <c r="B14" i="5" s="1"/>
  <c r="B13" i="5" a="1"/>
  <c r="B13" i="5" s="1"/>
  <c r="B12" i="5" a="1"/>
  <c r="B12" i="5" s="1"/>
  <c r="B11" i="5" a="1"/>
  <c r="B11" i="5" s="1"/>
  <c r="B10" i="5" a="1"/>
  <c r="B10" i="5" s="1"/>
  <c r="B9" i="5" a="1"/>
  <c r="B9" i="5" s="1"/>
  <c r="B8" i="5" a="1"/>
  <c r="B8" i="5" s="1"/>
  <c r="B7" i="5" a="1"/>
  <c r="B7" i="5" s="1"/>
  <c r="B6" i="5" a="1"/>
  <c r="B6" i="5" s="1"/>
  <c r="B5" i="5" a="1"/>
  <c r="B5" i="5" s="1"/>
  <c r="B4" i="5" a="1"/>
  <c r="B4" i="5" s="1"/>
  <c r="B3" i="5" a="1"/>
  <c r="B3" i="5" s="1"/>
  <c r="B2" i="5" a="1"/>
  <c r="B2" i="5" s="1"/>
  <c r="BX8" i="2"/>
  <c r="BY8" i="2"/>
  <c r="BZ8" i="2"/>
  <c r="CA8" i="2"/>
  <c r="CB8" i="2"/>
  <c r="CC8" i="2"/>
  <c r="CD8" i="2"/>
  <c r="CE8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7" i="2"/>
  <c r="CD7" i="2"/>
  <c r="CC7" i="2"/>
  <c r="CB7" i="2"/>
  <c r="CA7" i="2"/>
  <c r="BZ7" i="2"/>
  <c r="BY7" i="2"/>
  <c r="BX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V4" i="2"/>
  <c r="BV33" i="2"/>
  <c r="BU7" i="2" l="1"/>
  <c r="BU21" i="2"/>
  <c r="BW22" i="2"/>
  <c r="BW31" i="2"/>
  <c r="BW19" i="2"/>
  <c r="BW46" i="2"/>
  <c r="BU31" i="2"/>
  <c r="BU15" i="2"/>
  <c r="BW49" i="2"/>
  <c r="BV10" i="2"/>
  <c r="BU26" i="2"/>
  <c r="BW34" i="2"/>
  <c r="BV29" i="2"/>
  <c r="BW20" i="2"/>
  <c r="BV47" i="2"/>
  <c r="BU38" i="2"/>
  <c r="BW7" i="2"/>
  <c r="BV31" i="2"/>
  <c r="BV46" i="2"/>
  <c r="BU16" i="2"/>
  <c r="BW3" i="2"/>
  <c r="BU48" i="2"/>
  <c r="BW44" i="2"/>
  <c r="BU44" i="2"/>
  <c r="C8" i="5" a="1"/>
  <c r="C8" i="5" s="1"/>
  <c r="BU39" i="2"/>
  <c r="BV14" i="2"/>
  <c r="BV28" i="2"/>
  <c r="BW48" i="2"/>
  <c r="BV41" i="2"/>
  <c r="BW24" i="2"/>
  <c r="BW18" i="2"/>
  <c r="BW33" i="2"/>
  <c r="BV43" i="2"/>
  <c r="BW26" i="2"/>
  <c r="BU24" i="2"/>
  <c r="BV39" i="2"/>
  <c r="BU9" i="2"/>
  <c r="BU10" i="2"/>
  <c r="BV3" i="2"/>
  <c r="BU27" i="2"/>
  <c r="BU49" i="2"/>
  <c r="BW5" i="2"/>
  <c r="BV15" i="2"/>
  <c r="BV5" i="2"/>
  <c r="BU41" i="2"/>
  <c r="BW47" i="2"/>
  <c r="BV12" i="2"/>
  <c r="BV49" i="2"/>
  <c r="BU5" i="2"/>
  <c r="BW30" i="2"/>
  <c r="BW42" i="2"/>
  <c r="BV48" i="2"/>
  <c r="BW36" i="2"/>
  <c r="BV44" i="2"/>
  <c r="BU30" i="2"/>
  <c r="BW41" i="2"/>
  <c r="BW9" i="2"/>
  <c r="BV16" i="2"/>
  <c r="BW6" i="2"/>
  <c r="BU43" i="2"/>
  <c r="BV32" i="2"/>
  <c r="BU40" i="2"/>
  <c r="BW27" i="2"/>
  <c r="BV35" i="2"/>
  <c r="BV11" i="2"/>
  <c r="BU19" i="2"/>
  <c r="BU34" i="2"/>
  <c r="BU13" i="2"/>
  <c r="BU32" i="2"/>
  <c r="BW39" i="2"/>
  <c r="BW21" i="2"/>
  <c r="BW37" i="2"/>
  <c r="BW23" i="2"/>
  <c r="BU17" i="2"/>
  <c r="BU4" i="2"/>
  <c r="BU6" i="2"/>
  <c r="C5" i="5" a="1"/>
  <c r="C5" i="5" s="1"/>
  <c r="BV38" i="2"/>
  <c r="BU46" i="2"/>
  <c r="BV37" i="2"/>
  <c r="BW28" i="2"/>
  <c r="BV34" i="2"/>
  <c r="BV17" i="2"/>
  <c r="BU33" i="2"/>
  <c r="BW15" i="2"/>
  <c r="BW14" i="2"/>
  <c r="BU36" i="2"/>
  <c r="BV9" i="2"/>
  <c r="BV23" i="2"/>
  <c r="BU29" i="2"/>
  <c r="BV13" i="2"/>
  <c r="BV22" i="2"/>
  <c r="BW11" i="2"/>
  <c r="BV7" i="2"/>
  <c r="BV24" i="2"/>
  <c r="BW40" i="2"/>
  <c r="BV8" i="2"/>
  <c r="BU18" i="2"/>
  <c r="BW25" i="2"/>
  <c r="BU47" i="2"/>
  <c r="BU14" i="2"/>
  <c r="BV6" i="2"/>
  <c r="BW4" i="2"/>
  <c r="BU12" i="2"/>
  <c r="BU22" i="2"/>
  <c r="BU8" i="2"/>
  <c r="BV20" i="2"/>
  <c r="BV40" i="2"/>
  <c r="BW10" i="2"/>
  <c r="BW38" i="2"/>
  <c r="BV45" i="2"/>
  <c r="BV36" i="2"/>
  <c r="BU2" i="2"/>
  <c r="BV42" i="2"/>
  <c r="BW13" i="2"/>
  <c r="BW17" i="2"/>
  <c r="BU28" i="2"/>
  <c r="BW35" i="2"/>
  <c r="BU35" i="2"/>
  <c r="BV27" i="2"/>
  <c r="BU3" i="2"/>
  <c r="BV2" i="2"/>
  <c r="BW32" i="2"/>
  <c r="BU23" i="2"/>
  <c r="BU42" i="2"/>
  <c r="BW43" i="2"/>
  <c r="BV25" i="2"/>
  <c r="BV18" i="2"/>
  <c r="BV19" i="2"/>
  <c r="BU45" i="2"/>
  <c r="BU20" i="2"/>
  <c r="BW12" i="2"/>
  <c r="BW29" i="2"/>
  <c r="BU25" i="2"/>
  <c r="C4" i="5" a="1"/>
  <c r="C4" i="5" s="1"/>
  <c r="BW16" i="2"/>
  <c r="BW2" i="2"/>
  <c r="BW8" i="2"/>
  <c r="BV30" i="2"/>
  <c r="BW45" i="2"/>
  <c r="BV26" i="2"/>
  <c r="BV21" i="2"/>
  <c r="BU11" i="2"/>
  <c r="BU37" i="2"/>
  <c r="CF33" i="2" l="1"/>
  <c r="CF31" i="2"/>
  <c r="CF26" i="2"/>
  <c r="CF7" i="2"/>
  <c r="CF37" i="2"/>
  <c r="CF3" i="2"/>
  <c r="CF19" i="2"/>
  <c r="CF39" i="2"/>
  <c r="CF44" i="2"/>
  <c r="CF24" i="2"/>
  <c r="CF22" i="2"/>
  <c r="CF35" i="2"/>
  <c r="CF5" i="2"/>
  <c r="CF48" i="2"/>
  <c r="CF34" i="2"/>
  <c r="CF27" i="2"/>
  <c r="CF20" i="2"/>
  <c r="CF23" i="2"/>
  <c r="CF46" i="2"/>
  <c r="CF17" i="2"/>
  <c r="CF13" i="2"/>
  <c r="CF14" i="2"/>
  <c r="CF28" i="2"/>
  <c r="CF38" i="2"/>
  <c r="CF8" i="2"/>
  <c r="CF16" i="2"/>
  <c r="CF6" i="2"/>
  <c r="CF40" i="2"/>
  <c r="CF49" i="2"/>
  <c r="CF32" i="2"/>
  <c r="CF9" i="2"/>
  <c r="CF21" i="2"/>
  <c r="CF42" i="2"/>
  <c r="CF36" i="2"/>
  <c r="CF41" i="2"/>
  <c r="CF10" i="2"/>
  <c r="CF18" i="2"/>
  <c r="CF47" i="2"/>
  <c r="CF4" i="2"/>
  <c r="CF15" i="2"/>
  <c r="CF30" i="2"/>
  <c r="CF12" i="2"/>
  <c r="CF45" i="2"/>
  <c r="CF11" i="2"/>
  <c r="CF43" i="2"/>
  <c r="CF2" i="2"/>
  <c r="CF25" i="2"/>
  <c r="CF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<sst xmlns="http://schemas.openxmlformats.org/spreadsheetml/2006/main" count="3780" uniqueCount="249">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</sst>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O6" sqref="O6"/>
    </sheetView>
  </sheetViews>
  <sheetFormatPr baseColWidth="10" defaultColWidth="9.140625" defaultRowHeight="15" x14ac:dyDescent="0.25"/>
  <cols>
    <col min="1" max="1" width="7" bestFit="1" customWidth="1"/>
    <col min="2" max="2" width="8.42578125" bestFit="1" customWidth="1"/>
    <col min="3" max="3" width="19.42578125" bestFit="1" customWidth="1"/>
    <col min="5" max="5" width="15.140625" bestFit="1" customWidth="1"/>
    <col min="6" max="8" width="8.5703125" bestFit="1" customWidth="1"/>
    <col min="9" max="9" width="10.7109375" bestFit="1" customWidth="1"/>
    <col min="10" max="11" width="8.5703125" bestFit="1" customWidth="1"/>
    <col min="12" max="12" width="14.85546875" bestFit="1" customWidth="1"/>
    <col min="13" max="13" width="10" customWidth="1"/>
    <col min="14" max="14" width="22.5703125" bestFit="1" customWidth="1"/>
    <col min="15" max="15" width="10.28515625" bestFit="1" customWidth="1"/>
    <col min="18" max="18" width="9" bestFit="1" customWidth="1"/>
    <col min="19" max="19" width="9.7109375" bestFit="1" customWidth="1"/>
    <col min="20" max="20" width="15.57031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tr">
        <f>+C3</f>
        <v>Corea del Sud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" t="s">
        <v>227</v>
      </c>
      <c r="B4" s="2" t="s">
        <v>231</v>
      </c>
      <c r="C4" s="16" t="s">
        <v>110</v>
      </c>
      <c r="E4" s="14" t="str">
        <f>+C5</f>
        <v>Canadà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" t="s">
        <v>232</v>
      </c>
      <c r="B5" s="2" t="s">
        <v>228</v>
      </c>
      <c r="C5" s="3" t="s">
        <v>99</v>
      </c>
      <c r="E5" s="14" t="str">
        <f>+C6</f>
        <v>Suïssa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87</v>
      </c>
      <c r="E6" s="14" t="str">
        <f>+C8</f>
        <v>Brasil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5">
      <c r="A7" s="2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tr">
        <f>+C26</f>
        <v>Alemanya</v>
      </c>
    </row>
    <row r="19" spans="1:6" x14ac:dyDescent="0.25">
      <c r="A19" s="2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RD Congo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90</v>
      </c>
      <c r="E26" s="10" t="s">
        <v>103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112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96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5">
      <c r="A34" s="2" t="s">
        <v>241</v>
      </c>
      <c r="B34" s="2" t="s">
        <v>231</v>
      </c>
      <c r="C34" s="16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145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33" xr:uid="{E4A41900-CC37-48F7-B004-B74485AD8A27}">
      <formula1>$C$2:$C$37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BP1" zoomScale="115" zoomScaleNormal="115" workbookViewId="0">
      <selection activeCell="BJ8" sqref="A8:XFD8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19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13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11.5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45.5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19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50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19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7.5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40.5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18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54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17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11.5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47.5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15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49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18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12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6.5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36.5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12.5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45.5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18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16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52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17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8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4</v>
      </c>
      <c r="CE11">
        <f>IF(BR11='Resultats Reals'!$L$2,5,0)</f>
        <v>0</v>
      </c>
      <c r="CF11" s="7">
        <f t="shared" si="0"/>
        <v>46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14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44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17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46.5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19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13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44.5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18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17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47.5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45.5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11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43.5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17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13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8.5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4</v>
      </c>
      <c r="CE18">
        <f>IF(BR18='Resultats Reals'!$L$2,5,0)</f>
        <v>0</v>
      </c>
      <c r="CF18" s="7">
        <f t="shared" si="0"/>
        <v>42.5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18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13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44.5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17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11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4</v>
      </c>
      <c r="CE20">
        <f>IF(BR20='Resultats Reals'!$L$2,5,0)</f>
        <v>0</v>
      </c>
      <c r="CF20" s="7">
        <f t="shared" si="0"/>
        <v>44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17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48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17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13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4</v>
      </c>
      <c r="CE22">
        <f>IF(BR22='Resultats Reals'!$L$2,5,0)</f>
        <v>0</v>
      </c>
      <c r="CF22" s="7">
        <f t="shared" si="0"/>
        <v>44.5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17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10.5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42.5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19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54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40.5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18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9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46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16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45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11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46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16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13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9.5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40.5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48.5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16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9.5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49.5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17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12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46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16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48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16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14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15.5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47.5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16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46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18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42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17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12.5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4</v>
      </c>
      <c r="CE38">
        <f>IF(BR38='Resultats Reals'!$L$2,5,0)</f>
        <v>0</v>
      </c>
      <c r="CF38" s="7">
        <f t="shared" si="0"/>
        <v>47.5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41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15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11.5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43.5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43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17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52.5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17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13.5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46.5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18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15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4</v>
      </c>
      <c r="CE44">
        <f>IF(BR44='Resultats Reals'!$L$2,5,0)</f>
        <v>0</v>
      </c>
      <c r="CF44" s="7">
        <f t="shared" si="0"/>
        <v>51.5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17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47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50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16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11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39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18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10.5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51.5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19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16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124</v>
      </c>
      <c r="B2">
        <v>45.5</v>
      </c>
    </row>
    <row r="3" spans="1:2" x14ac:dyDescent="0.25">
      <c r="A3" s="12" t="s">
        <v>135</v>
      </c>
      <c r="B3">
        <v>45.5</v>
      </c>
    </row>
    <row r="4" spans="1:2" x14ac:dyDescent="0.25">
      <c r="A4" s="12" t="s">
        <v>205</v>
      </c>
      <c r="B4">
        <v>45</v>
      </c>
    </row>
    <row r="5" spans="1:2" x14ac:dyDescent="0.25">
      <c r="A5" s="12" t="s">
        <v>138</v>
      </c>
      <c r="B5">
        <v>44.5</v>
      </c>
    </row>
    <row r="6" spans="1:2" x14ac:dyDescent="0.25">
      <c r="A6" s="12" t="s">
        <v>208</v>
      </c>
      <c r="B6">
        <v>44.5</v>
      </c>
    </row>
    <row r="7" spans="1:2" x14ac:dyDescent="0.25">
      <c r="A7" s="12" t="s">
        <v>206</v>
      </c>
      <c r="B7">
        <v>43</v>
      </c>
    </row>
    <row r="8" spans="1:2" x14ac:dyDescent="0.25">
      <c r="A8" s="12" t="s">
        <v>174</v>
      </c>
      <c r="B8">
        <v>42.5</v>
      </c>
    </row>
    <row r="9" spans="1:2" x14ac:dyDescent="0.25">
      <c r="A9" s="12" t="s">
        <v>193</v>
      </c>
      <c r="B9">
        <v>42.5</v>
      </c>
    </row>
    <row r="10" spans="1:2" x14ac:dyDescent="0.25">
      <c r="A10" s="12" t="s">
        <v>189</v>
      </c>
      <c r="B10">
        <v>42.5</v>
      </c>
    </row>
    <row r="11" spans="1:2" x14ac:dyDescent="0.25">
      <c r="A11" s="12" t="s">
        <v>185</v>
      </c>
      <c r="B11">
        <v>42</v>
      </c>
    </row>
    <row r="12" spans="1:2" x14ac:dyDescent="0.25">
      <c r="A12" s="12" t="s">
        <v>152</v>
      </c>
      <c r="B12">
        <v>42</v>
      </c>
    </row>
    <row r="13" spans="1:2" x14ac:dyDescent="0.25">
      <c r="A13" s="12" t="s">
        <v>192</v>
      </c>
      <c r="B13">
        <v>42</v>
      </c>
    </row>
    <row r="14" spans="1:2" x14ac:dyDescent="0.25">
      <c r="A14" s="12" t="s">
        <v>137</v>
      </c>
      <c r="B14">
        <v>41.5</v>
      </c>
    </row>
    <row r="15" spans="1:2" x14ac:dyDescent="0.25">
      <c r="A15" s="12" t="s">
        <v>179</v>
      </c>
      <c r="B15">
        <v>41.5</v>
      </c>
    </row>
    <row r="16" spans="1:2" x14ac:dyDescent="0.25">
      <c r="A16" s="12" t="s">
        <v>147</v>
      </c>
      <c r="B16">
        <v>41</v>
      </c>
    </row>
    <row r="17" spans="1:2" x14ac:dyDescent="0.25">
      <c r="A17" s="12" t="s">
        <v>202</v>
      </c>
      <c r="B17">
        <v>41</v>
      </c>
    </row>
    <row r="18" spans="1:2" x14ac:dyDescent="0.25">
      <c r="A18" s="12" t="s">
        <v>166</v>
      </c>
      <c r="B18">
        <v>41</v>
      </c>
    </row>
    <row r="19" spans="1:2" x14ac:dyDescent="0.25">
      <c r="A19" s="12" t="s">
        <v>191</v>
      </c>
      <c r="B19">
        <v>41</v>
      </c>
    </row>
    <row r="20" spans="1:2" x14ac:dyDescent="0.25">
      <c r="A20" s="12" t="s">
        <v>156</v>
      </c>
      <c r="B20">
        <v>41</v>
      </c>
    </row>
    <row r="21" spans="1:2" x14ac:dyDescent="0.25">
      <c r="A21" s="12" t="s">
        <v>176</v>
      </c>
      <c r="B21">
        <v>41</v>
      </c>
    </row>
    <row r="22" spans="1:2" x14ac:dyDescent="0.25">
      <c r="A22" s="12" t="s">
        <v>210</v>
      </c>
      <c r="B22">
        <v>40.5</v>
      </c>
    </row>
    <row r="23" spans="1:2" x14ac:dyDescent="0.25">
      <c r="A23" s="12" t="s">
        <v>196</v>
      </c>
      <c r="B23">
        <v>40.5</v>
      </c>
    </row>
    <row r="24" spans="1:2" x14ac:dyDescent="0.25">
      <c r="A24" s="12" t="s">
        <v>150</v>
      </c>
      <c r="B24">
        <v>40.5</v>
      </c>
    </row>
    <row r="25" spans="1:2" x14ac:dyDescent="0.25">
      <c r="A25" s="12" t="s">
        <v>130</v>
      </c>
      <c r="B25">
        <v>40</v>
      </c>
    </row>
    <row r="26" spans="1:2" x14ac:dyDescent="0.25">
      <c r="A26" s="12" t="s">
        <v>159</v>
      </c>
      <c r="B26">
        <v>39.5</v>
      </c>
    </row>
    <row r="27" spans="1:2" x14ac:dyDescent="0.25">
      <c r="A27" s="12" t="s">
        <v>154</v>
      </c>
      <c r="B27">
        <v>39.5</v>
      </c>
    </row>
    <row r="28" spans="1:2" x14ac:dyDescent="0.25">
      <c r="A28" s="12" t="s">
        <v>157</v>
      </c>
      <c r="B28">
        <v>39.5</v>
      </c>
    </row>
    <row r="29" spans="1:2" x14ac:dyDescent="0.25">
      <c r="A29" s="12" t="s">
        <v>169</v>
      </c>
      <c r="B29">
        <v>39.5</v>
      </c>
    </row>
    <row r="30" spans="1:2" x14ac:dyDescent="0.25">
      <c r="A30" s="12" t="s">
        <v>214</v>
      </c>
      <c r="B30">
        <v>39.5</v>
      </c>
    </row>
    <row r="31" spans="1:2" x14ac:dyDescent="0.25">
      <c r="A31" s="12" t="s">
        <v>198</v>
      </c>
      <c r="B31">
        <v>39.5</v>
      </c>
    </row>
    <row r="32" spans="1:2" x14ac:dyDescent="0.25">
      <c r="A32" s="12" t="s">
        <v>203</v>
      </c>
      <c r="B32">
        <v>39</v>
      </c>
    </row>
    <row r="33" spans="1:2" x14ac:dyDescent="0.25">
      <c r="A33" s="12" t="s">
        <v>84</v>
      </c>
      <c r="B33">
        <v>39</v>
      </c>
    </row>
    <row r="34" spans="1:2" x14ac:dyDescent="0.25">
      <c r="A34" s="12" t="s">
        <v>168</v>
      </c>
      <c r="B34">
        <v>39</v>
      </c>
    </row>
    <row r="35" spans="1:2" x14ac:dyDescent="0.25">
      <c r="A35" s="12" t="s">
        <v>209</v>
      </c>
      <c r="B35">
        <v>38.5</v>
      </c>
    </row>
    <row r="36" spans="1:2" x14ac:dyDescent="0.25">
      <c r="A36" s="12" t="s">
        <v>160</v>
      </c>
      <c r="B36">
        <v>38.5</v>
      </c>
    </row>
    <row r="37" spans="1:2" x14ac:dyDescent="0.25">
      <c r="A37" s="12" t="s">
        <v>181</v>
      </c>
      <c r="B37">
        <v>38.5</v>
      </c>
    </row>
    <row r="38" spans="1:2" x14ac:dyDescent="0.25">
      <c r="A38" s="12" t="s">
        <v>184</v>
      </c>
      <c r="B38">
        <v>38.5</v>
      </c>
    </row>
    <row r="39" spans="1:2" x14ac:dyDescent="0.25">
      <c r="A39" s="12" t="s">
        <v>187</v>
      </c>
      <c r="B39">
        <v>37.5</v>
      </c>
    </row>
    <row r="40" spans="1:2" x14ac:dyDescent="0.25">
      <c r="A40" s="12" t="s">
        <v>215</v>
      </c>
      <c r="B40">
        <v>37.5</v>
      </c>
    </row>
    <row r="41" spans="1:2" x14ac:dyDescent="0.25">
      <c r="A41" s="12" t="s">
        <v>163</v>
      </c>
      <c r="B41">
        <v>37.5</v>
      </c>
    </row>
    <row r="42" spans="1:2" x14ac:dyDescent="0.25">
      <c r="A42" s="12" t="s">
        <v>153</v>
      </c>
      <c r="B42">
        <v>36.5</v>
      </c>
    </row>
    <row r="43" spans="1:2" x14ac:dyDescent="0.25">
      <c r="A43" s="12" t="s">
        <v>178</v>
      </c>
      <c r="B43">
        <v>36.5</v>
      </c>
    </row>
    <row r="44" spans="1:2" x14ac:dyDescent="0.25">
      <c r="A44" s="12" t="s">
        <v>182</v>
      </c>
      <c r="B44">
        <v>36</v>
      </c>
    </row>
    <row r="45" spans="1:2" x14ac:dyDescent="0.25">
      <c r="A45" s="12" t="s">
        <v>213</v>
      </c>
      <c r="B45">
        <v>34.5</v>
      </c>
    </row>
    <row r="46" spans="1:2" x14ac:dyDescent="0.25">
      <c r="A46" s="12" t="s">
        <v>170</v>
      </c>
      <c r="B46">
        <v>34.5</v>
      </c>
    </row>
    <row r="47" spans="1:2" x14ac:dyDescent="0.25">
      <c r="A47" s="12" t="s">
        <v>172</v>
      </c>
      <c r="B47">
        <v>34.5</v>
      </c>
    </row>
    <row r="48" spans="1:2" x14ac:dyDescent="0.25">
      <c r="A48" s="12" t="s">
        <v>175</v>
      </c>
      <c r="B48">
        <v>32.5</v>
      </c>
    </row>
    <row r="49" spans="1:2" x14ac:dyDescent="0.25">
      <c r="A49" s="12" t="s">
        <v>140</v>
      </c>
      <c r="B49">
        <v>28.5</v>
      </c>
    </row>
    <row r="50" spans="1:2" x14ac:dyDescent="0.25">
      <c r="A50" s="12" t="s">
        <v>245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47"/>
  <sheetViews>
    <sheetView topLeftCell="A19" workbookViewId="0">
      <selection activeCell="B38" sqref="B38"/>
    </sheetView>
  </sheetViews>
  <sheetFormatPr baseColWidth="10" defaultColWidth="10.7109375" defaultRowHeight="15" x14ac:dyDescent="0.25"/>
  <cols>
    <col min="1" max="1" width="19.42578125" bestFit="1" customWidth="1"/>
    <col min="2" max="3" width="19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2026-06-23T06:10:06Z</dcterms:modified>
</cp:coreProperties>
</file>