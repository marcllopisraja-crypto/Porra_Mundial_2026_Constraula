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5" documentId="13_ncr:1_{9F7B0128-7DB5-4D3F-8211-EFD2B59C2422}" xr6:coauthVersionLast="47" xr6:coauthVersionMax="47" xr10:uidLastSave="{EFC1DAA1-6D34-4123-A285-39987125FD6A}"/>
  <bookViews>
    <workbookView xWindow="6705" yWindow="1695" windowWidth="21600" windowHeight="11295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4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3" i="5" s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8" i="2"/>
  <c r="CE15" i="2"/>
  <c r="CD15" i="2"/>
  <c r="CC15" i="2"/>
  <c r="CB15" i="2"/>
  <c r="CA15" i="2"/>
  <c r="BZ15" i="2"/>
  <c r="BY15" i="2"/>
  <c r="BX15" i="2"/>
  <c r="CE7" i="2"/>
  <c r="CD7" i="2"/>
  <c r="CC7" i="2"/>
  <c r="CB7" i="2"/>
  <c r="CA7" i="2"/>
  <c r="BZ7" i="2"/>
  <c r="BY7" i="2"/>
  <c r="BX7" i="2"/>
  <c r="CE20" i="2"/>
  <c r="CD20" i="2"/>
  <c r="CC20" i="2"/>
  <c r="CB20" i="2"/>
  <c r="CA20" i="2"/>
  <c r="BZ20" i="2"/>
  <c r="BY20" i="2"/>
  <c r="BX20" i="2"/>
  <c r="CE8" i="2"/>
  <c r="CD8" i="2"/>
  <c r="CC8" i="2"/>
  <c r="CB8" i="2"/>
  <c r="CA8" i="2"/>
  <c r="BZ8" i="2"/>
  <c r="BY8" i="2"/>
  <c r="BX8" i="2"/>
  <c r="CE30" i="2"/>
  <c r="CD30" i="2"/>
  <c r="CC30" i="2"/>
  <c r="CB30" i="2"/>
  <c r="CA30" i="2"/>
  <c r="BZ30" i="2"/>
  <c r="BY30" i="2"/>
  <c r="BX30" i="2"/>
  <c r="CE26" i="2"/>
  <c r="CD26" i="2"/>
  <c r="CC26" i="2"/>
  <c r="CB26" i="2"/>
  <c r="CA26" i="2"/>
  <c r="BZ26" i="2"/>
  <c r="BY26" i="2"/>
  <c r="BX26" i="2"/>
  <c r="CE33" i="2"/>
  <c r="CD33" i="2"/>
  <c r="CC33" i="2"/>
  <c r="CB33" i="2"/>
  <c r="CA33" i="2"/>
  <c r="BZ33" i="2"/>
  <c r="BY33" i="2"/>
  <c r="BX33" i="2"/>
  <c r="CE9" i="2"/>
  <c r="CD9" i="2"/>
  <c r="CC9" i="2"/>
  <c r="CB9" i="2"/>
  <c r="CA9" i="2"/>
  <c r="BZ9" i="2"/>
  <c r="BY9" i="2"/>
  <c r="BX9" i="2"/>
  <c r="CE44" i="2"/>
  <c r="CD44" i="2"/>
  <c r="CC44" i="2"/>
  <c r="CB44" i="2"/>
  <c r="CA44" i="2"/>
  <c r="BZ44" i="2"/>
  <c r="BY44" i="2"/>
  <c r="BX44" i="2"/>
  <c r="CE23" i="2"/>
  <c r="CD23" i="2"/>
  <c r="CC23" i="2"/>
  <c r="CB23" i="2"/>
  <c r="CA23" i="2"/>
  <c r="BZ23" i="2"/>
  <c r="BY23" i="2"/>
  <c r="BX23" i="2"/>
  <c r="CE19" i="2"/>
  <c r="CD19" i="2"/>
  <c r="CC19" i="2"/>
  <c r="CB19" i="2"/>
  <c r="CA19" i="2"/>
  <c r="BZ19" i="2"/>
  <c r="BY19" i="2"/>
  <c r="BX19" i="2"/>
  <c r="CE43" i="2"/>
  <c r="CD43" i="2"/>
  <c r="CC43" i="2"/>
  <c r="CB43" i="2"/>
  <c r="CA43" i="2"/>
  <c r="BZ43" i="2"/>
  <c r="BY43" i="2"/>
  <c r="BX43" i="2"/>
  <c r="CE21" i="2"/>
  <c r="CD21" i="2"/>
  <c r="CC21" i="2"/>
  <c r="CB21" i="2"/>
  <c r="CA21" i="2"/>
  <c r="BZ21" i="2"/>
  <c r="BY21" i="2"/>
  <c r="BX21" i="2"/>
  <c r="CE29" i="2"/>
  <c r="CD29" i="2"/>
  <c r="CC29" i="2"/>
  <c r="CB29" i="2"/>
  <c r="CA29" i="2"/>
  <c r="BZ29" i="2"/>
  <c r="BY29" i="2"/>
  <c r="BX29" i="2"/>
  <c r="CE3" i="2"/>
  <c r="CD3" i="2"/>
  <c r="CC3" i="2"/>
  <c r="CB3" i="2"/>
  <c r="CA3" i="2"/>
  <c r="BZ3" i="2"/>
  <c r="BY3" i="2"/>
  <c r="BX3" i="2"/>
  <c r="CE32" i="2"/>
  <c r="CD32" i="2"/>
  <c r="CC32" i="2"/>
  <c r="CB32" i="2"/>
  <c r="CA32" i="2"/>
  <c r="BZ32" i="2"/>
  <c r="BY32" i="2"/>
  <c r="BX32" i="2"/>
  <c r="CE40" i="2"/>
  <c r="CD40" i="2"/>
  <c r="CC40" i="2"/>
  <c r="CB40" i="2"/>
  <c r="CA40" i="2"/>
  <c r="BZ40" i="2"/>
  <c r="BY40" i="2"/>
  <c r="BX40" i="2"/>
  <c r="CE18" i="2"/>
  <c r="CD18" i="2"/>
  <c r="CC18" i="2"/>
  <c r="CB18" i="2"/>
  <c r="CA18" i="2"/>
  <c r="BZ18" i="2"/>
  <c r="BY18" i="2"/>
  <c r="BX18" i="2"/>
  <c r="CE6" i="2"/>
  <c r="CD6" i="2"/>
  <c r="CC6" i="2"/>
  <c r="CB6" i="2"/>
  <c r="CA6" i="2"/>
  <c r="BZ6" i="2"/>
  <c r="BY6" i="2"/>
  <c r="BX6" i="2"/>
  <c r="BU6" i="2"/>
  <c r="CE39" i="2"/>
  <c r="CD39" i="2"/>
  <c r="CC39" i="2"/>
  <c r="CB39" i="2"/>
  <c r="CA39" i="2"/>
  <c r="BZ39" i="2"/>
  <c r="BY39" i="2"/>
  <c r="BX39" i="2"/>
  <c r="CE42" i="2"/>
  <c r="CD42" i="2"/>
  <c r="CC42" i="2"/>
  <c r="CB42" i="2"/>
  <c r="CA42" i="2"/>
  <c r="BZ42" i="2"/>
  <c r="BY42" i="2"/>
  <c r="BX42" i="2"/>
  <c r="CE36" i="2"/>
  <c r="CD36" i="2"/>
  <c r="CC36" i="2"/>
  <c r="CB36" i="2"/>
  <c r="CA36" i="2"/>
  <c r="BZ36" i="2"/>
  <c r="BY36" i="2"/>
  <c r="BX36" i="2"/>
  <c r="BU36" i="2"/>
  <c r="CE24" i="2"/>
  <c r="CD24" i="2"/>
  <c r="CC24" i="2"/>
  <c r="CB24" i="2"/>
  <c r="CA24" i="2"/>
  <c r="BZ24" i="2"/>
  <c r="BY24" i="2"/>
  <c r="BX24" i="2"/>
  <c r="CE14" i="2"/>
  <c r="CD14" i="2"/>
  <c r="CC14" i="2"/>
  <c r="CB14" i="2"/>
  <c r="CA14" i="2"/>
  <c r="BZ14" i="2"/>
  <c r="BY14" i="2"/>
  <c r="BX14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1" i="2"/>
  <c r="CD31" i="2"/>
  <c r="CC31" i="2"/>
  <c r="CB31" i="2"/>
  <c r="CA31" i="2"/>
  <c r="BZ31" i="2"/>
  <c r="BY31" i="2"/>
  <c r="BX31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1" i="2"/>
  <c r="CD11" i="2"/>
  <c r="CC11" i="2"/>
  <c r="CB11" i="2"/>
  <c r="CA11" i="2"/>
  <c r="BZ11" i="2"/>
  <c r="BY11" i="2"/>
  <c r="BX11" i="2"/>
  <c r="CE48" i="2"/>
  <c r="CD48" i="2"/>
  <c r="CC48" i="2"/>
  <c r="CB48" i="2"/>
  <c r="CA48" i="2"/>
  <c r="BZ48" i="2"/>
  <c r="BY48" i="2"/>
  <c r="BX48" i="2"/>
  <c r="CE45" i="2"/>
  <c r="CD45" i="2"/>
  <c r="CC45" i="2"/>
  <c r="CB45" i="2"/>
  <c r="CA45" i="2"/>
  <c r="BZ45" i="2"/>
  <c r="BY45" i="2"/>
  <c r="BX45" i="2"/>
  <c r="CE34" i="2"/>
  <c r="CD34" i="2"/>
  <c r="CC34" i="2"/>
  <c r="CB34" i="2"/>
  <c r="CA34" i="2"/>
  <c r="BZ34" i="2"/>
  <c r="BY34" i="2"/>
  <c r="BX34" i="2"/>
  <c r="CE46" i="2"/>
  <c r="CD46" i="2"/>
  <c r="CC46" i="2"/>
  <c r="CB46" i="2"/>
  <c r="CA46" i="2"/>
  <c r="BZ46" i="2"/>
  <c r="BY46" i="2"/>
  <c r="BX46" i="2"/>
  <c r="CE4" i="2"/>
  <c r="CD4" i="2"/>
  <c r="CC4" i="2"/>
  <c r="CB4" i="2"/>
  <c r="CA4" i="2"/>
  <c r="BZ4" i="2"/>
  <c r="BY4" i="2"/>
  <c r="BX4" i="2"/>
  <c r="CE25" i="2"/>
  <c r="CD25" i="2"/>
  <c r="CC25" i="2"/>
  <c r="CB25" i="2"/>
  <c r="CA25" i="2"/>
  <c r="BZ25" i="2"/>
  <c r="BY25" i="2"/>
  <c r="BX25" i="2"/>
  <c r="CE2" i="2"/>
  <c r="CD2" i="2"/>
  <c r="CC2" i="2"/>
  <c r="CB2" i="2"/>
  <c r="CA2" i="2"/>
  <c r="BZ2" i="2"/>
  <c r="BY2" i="2"/>
  <c r="BX2" i="2"/>
  <c r="CE22" i="2"/>
  <c r="CD22" i="2"/>
  <c r="CC22" i="2"/>
  <c r="CB22" i="2"/>
  <c r="CA22" i="2"/>
  <c r="BZ22" i="2"/>
  <c r="BY22" i="2"/>
  <c r="BX22" i="2"/>
  <c r="CE35" i="2"/>
  <c r="CD35" i="2"/>
  <c r="CC35" i="2"/>
  <c r="CB35" i="2"/>
  <c r="CA35" i="2"/>
  <c r="BZ35" i="2"/>
  <c r="BY35" i="2"/>
  <c r="BX35" i="2"/>
  <c r="CE12" i="2"/>
  <c r="CD12" i="2"/>
  <c r="CC12" i="2"/>
  <c r="CB12" i="2"/>
  <c r="CA12" i="2"/>
  <c r="BZ12" i="2"/>
  <c r="BY12" i="2"/>
  <c r="BX12" i="2"/>
  <c r="CE10" i="2"/>
  <c r="CD10" i="2"/>
  <c r="CC10" i="2"/>
  <c r="CB10" i="2"/>
  <c r="CA10" i="2"/>
  <c r="BZ10" i="2"/>
  <c r="BY10" i="2"/>
  <c r="BX10" i="2"/>
  <c r="CE5" i="2"/>
  <c r="CD5" i="2"/>
  <c r="CC5" i="2"/>
  <c r="CB5" i="2"/>
  <c r="CA5" i="2"/>
  <c r="BZ5" i="2"/>
  <c r="BY5" i="2"/>
  <c r="BX5" i="2"/>
  <c r="CE41" i="2"/>
  <c r="CD41" i="2"/>
  <c r="CC41" i="2"/>
  <c r="CB41" i="2"/>
  <c r="CA41" i="2"/>
  <c r="BZ41" i="2"/>
  <c r="BY41" i="2"/>
  <c r="BX41" i="2"/>
  <c r="BW41" i="2"/>
  <c r="CE47" i="2"/>
  <c r="CD47" i="2"/>
  <c r="CC47" i="2"/>
  <c r="CB47" i="2"/>
  <c r="CA47" i="2"/>
  <c r="BZ47" i="2"/>
  <c r="BY47" i="2"/>
  <c r="BX47" i="2"/>
  <c r="CE28" i="2"/>
  <c r="CD28" i="2"/>
  <c r="CC28" i="2"/>
  <c r="CB28" i="2"/>
  <c r="CA28" i="2"/>
  <c r="BZ28" i="2"/>
  <c r="BY28" i="2"/>
  <c r="BX28" i="2"/>
  <c r="CE27" i="2"/>
  <c r="CD27" i="2"/>
  <c r="CC27" i="2"/>
  <c r="CB27" i="2"/>
  <c r="CA27" i="2"/>
  <c r="BZ27" i="2"/>
  <c r="BY27" i="2"/>
  <c r="BX27" i="2"/>
  <c r="CE49" i="2"/>
  <c r="CD49" i="2"/>
  <c r="CC49" i="2"/>
  <c r="CB49" i="2"/>
  <c r="CA49" i="2"/>
  <c r="BZ49" i="2"/>
  <c r="BY49" i="2"/>
  <c r="BX49" i="2"/>
  <c r="CE13" i="2"/>
  <c r="CD13" i="2"/>
  <c r="CC13" i="2"/>
  <c r="CB13" i="2"/>
  <c r="CA13" i="2"/>
  <c r="BZ13" i="2"/>
  <c r="BY13" i="2"/>
  <c r="BX13" i="2"/>
  <c r="BU13" i="2"/>
  <c r="BV6" i="2"/>
  <c r="BW6" i="2"/>
  <c r="BW13" i="2"/>
  <c r="BU38" i="2"/>
  <c r="BV38" i="2"/>
  <c r="BV13" i="2"/>
  <c r="BV36" i="2"/>
  <c r="BW34" i="2"/>
  <c r="BU17" i="2"/>
  <c r="BW23" i="2"/>
  <c r="BV10" i="2"/>
  <c r="BU47" i="2"/>
  <c r="BU48" i="2"/>
  <c r="BU21" i="2"/>
  <c r="BV46" i="2"/>
  <c r="BV15" i="2"/>
  <c r="BW46" i="2"/>
  <c r="BW42" i="2"/>
  <c r="BW33" i="2"/>
  <c r="BU49" i="2"/>
  <c r="BU2" i="2"/>
  <c r="BW2" i="2"/>
  <c r="BU15" i="2"/>
  <c r="BU16" i="2"/>
  <c r="BW37" i="2"/>
  <c r="BV5" i="2"/>
  <c r="BW40" i="2"/>
  <c r="BU19" i="2"/>
  <c r="BU35" i="2"/>
  <c r="BV29" i="2"/>
  <c r="BU22" i="2"/>
  <c r="BV37" i="2"/>
  <c r="BW22" i="2"/>
  <c r="BU9" i="2"/>
  <c r="BV24" i="2"/>
  <c r="BU29" i="2"/>
  <c r="BV9" i="2"/>
  <c r="BW5" i="2"/>
  <c r="BU27" i="2"/>
  <c r="BV35" i="2"/>
  <c r="BW10" i="2"/>
  <c r="BV22" i="2"/>
  <c r="BU28" i="2"/>
  <c r="BV16" i="2"/>
  <c r="BU24" i="2"/>
  <c r="BV27" i="2"/>
  <c r="BU41" i="2"/>
  <c r="BU11" i="2"/>
  <c r="BU31" i="2"/>
  <c r="BU3" i="2"/>
  <c r="BU26" i="2"/>
  <c r="BV20" i="2"/>
  <c r="BV30" i="2"/>
  <c r="BW27" i="2"/>
  <c r="BV41" i="2"/>
  <c r="BW25" i="2"/>
  <c r="BU34" i="2"/>
  <c r="BV14" i="2"/>
  <c r="BV3" i="2"/>
  <c r="BW44" i="2"/>
  <c r="BW20" i="2"/>
  <c r="BU30" i="2"/>
  <c r="BW18" i="2"/>
  <c r="BW3" i="2"/>
  <c r="BV43" i="2"/>
  <c r="BV49" i="2"/>
  <c r="BV12" i="2"/>
  <c r="BW49" i="2"/>
  <c r="BU46" i="2"/>
  <c r="BV8" i="2"/>
  <c r="BW43" i="2"/>
  <c r="BW30" i="2"/>
  <c r="BV47" i="2"/>
  <c r="BW35" i="2"/>
  <c r="BW4" i="2"/>
  <c r="BV48" i="2"/>
  <c r="BW31" i="2"/>
  <c r="BW24" i="2"/>
  <c r="BU39" i="2"/>
  <c r="BU44" i="2"/>
  <c r="BW47" i="2"/>
  <c r="BU12" i="2"/>
  <c r="BW48" i="2"/>
  <c r="BU14" i="2"/>
  <c r="BW14" i="2"/>
  <c r="BV39" i="2"/>
  <c r="BW12" i="2"/>
  <c r="BU25" i="2"/>
  <c r="BV45" i="2"/>
  <c r="BV17" i="2"/>
  <c r="BU40" i="2"/>
  <c r="BW21" i="2"/>
  <c r="BU23" i="2"/>
  <c r="BV26" i="2"/>
  <c r="BV28" i="2"/>
  <c r="BW28" i="2"/>
  <c r="BU10" i="2"/>
  <c r="BV25" i="2"/>
  <c r="BW45" i="2"/>
  <c r="BW17" i="2"/>
  <c r="BV40" i="2"/>
  <c r="BV23" i="2"/>
  <c r="BU20" i="2"/>
  <c r="BU5" i="2"/>
  <c r="BV2" i="2"/>
  <c r="BV34" i="2"/>
  <c r="BW16" i="2"/>
  <c r="BV18" i="2"/>
  <c r="BW29" i="2"/>
  <c r="BW39" i="2"/>
  <c r="BU32" i="2"/>
  <c r="BV19" i="2"/>
  <c r="BW26" i="2"/>
  <c r="BU7" i="2"/>
  <c r="BW15" i="2"/>
  <c r="BU4" i="2"/>
  <c r="BV11" i="2"/>
  <c r="BW38" i="2"/>
  <c r="BU42" i="2"/>
  <c r="BV32" i="2"/>
  <c r="BW19" i="2"/>
  <c r="BU33" i="2"/>
  <c r="BV7" i="2"/>
  <c r="BV4" i="2"/>
  <c r="BW11" i="2"/>
  <c r="BU37" i="2"/>
  <c r="BV42" i="2"/>
  <c r="BW32" i="2"/>
  <c r="BU43" i="2"/>
  <c r="BV33" i="2"/>
  <c r="BW7" i="2"/>
  <c r="BU45" i="2"/>
  <c r="BV31" i="2"/>
  <c r="BW36" i="2"/>
  <c r="BU18" i="2"/>
  <c r="BV21" i="2"/>
  <c r="BW9" i="2"/>
  <c r="BU8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B3" i="5"/>
  <c r="C2" i="5"/>
  <c r="B2" i="5"/>
  <c r="CF45" i="2" l="1"/>
  <c r="CF44" i="2"/>
  <c r="CF10" i="2"/>
  <c r="CF46" i="2"/>
  <c r="CF31" i="2"/>
  <c r="CF25" i="2"/>
  <c r="CF40" i="2"/>
  <c r="CF17" i="2"/>
  <c r="CF39" i="2"/>
  <c r="CF5" i="2"/>
  <c r="CF36" i="2"/>
  <c r="CF9" i="2"/>
  <c r="CF27" i="2"/>
  <c r="CF41" i="2"/>
  <c r="CF14" i="2"/>
  <c r="CF20" i="2"/>
  <c r="CF38" i="2"/>
  <c r="CF13" i="2"/>
  <c r="CF3" i="2"/>
  <c r="CF15" i="2"/>
  <c r="CF23" i="2"/>
  <c r="CF35" i="2"/>
  <c r="CF21" i="2"/>
  <c r="CF26" i="2"/>
  <c r="CF47" i="2"/>
  <c r="CF2" i="2"/>
  <c r="CF11" i="2"/>
  <c r="CF24" i="2"/>
  <c r="CF18" i="2"/>
  <c r="CF19" i="2"/>
  <c r="CF8" i="2"/>
  <c r="CF4" i="2"/>
  <c r="CF32" i="2"/>
  <c r="CF7" i="2"/>
  <c r="CF49" i="2"/>
  <c r="CF42" i="2"/>
  <c r="CF12" i="2"/>
  <c r="CF34" i="2"/>
  <c r="CF37" i="2"/>
  <c r="CF29" i="2"/>
  <c r="CF33" i="2"/>
  <c r="CF28" i="2"/>
  <c r="CF22" i="2"/>
  <c r="CF48" i="2"/>
  <c r="CF6" i="2"/>
  <c r="CF43" i="2"/>
  <c r="CF30" i="2"/>
  <c r="CF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<sst xmlns="http://schemas.openxmlformats.org/spreadsheetml/2006/main" count="3930" uniqueCount="305">
  <si>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</si>
  <si>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</si>
  <si>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</si>
  <si>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</si>
  <si>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</si>
  <si>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</si>
  <si>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</si>
  <si>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</si>
  <si>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</si>
  <si>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</si>
  <si>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</si>
  <si>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</si>
  <si>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</si>
  <si>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</si>
  <si>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</si>
  <si>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</si>
  <si>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</si>
  <si>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</si>
  <si>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</si>
  <si>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</si>
  <si>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</si>
  <si>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</si>
  <si>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</si>
  <si>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</si>
  <si>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</si>
  <si>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</si>
  <si>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</si>
  <si>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</si>
  <si>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</si>
  <si>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</si>
  <si>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</si>
  <si>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</si>
  <si>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</si>
  <si>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</si>
  <si>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</si>
  <si>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</si>
  <si>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</si>
  <si>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</si>
  <si>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</si>
  <si>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</si>
  <si>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</si>
  <si>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</si>
  <si>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</si>
  <si>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</si>
  <si>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</si>
  <si>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</si>
  <si>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</si>
  <si>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</si>
  <si>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</si>
  <si>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</si>
  <si>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</si>
  <si>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</si>
  <si>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</si>
  <si>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</si>
  <si>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</si>
  <si>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</si>
  <si>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</si>
  <si>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</si>
  <si>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</si>
  <si>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</si>
  <si>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</si>
  <si>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</si>
  <si>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</si>
  <si>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</si>
  <si>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</si>
  <si>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</si>
  <si>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</si>
  <si>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</si>
  <si>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</si>
  <si>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</si>
  <si>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</si>
  <si>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</si>
  <si>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</si>
  <si>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</si>
  <si>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</si>
  <si>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</si>
  <si>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</si>
  <si>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</si>
  <si>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</si>
  <si>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</si>
  <si>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</si>
  <si>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</si>
  <si>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</si>
  <si>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</si>
  <si>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</si>
  <si>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</si>
  <si>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</si>
  <si>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</si>
  <si>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</si>
  <si>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</si>
  <si>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</si>
  <si>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</si>
  <si>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</si>
  <si>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</si>
  <si>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</si>
  <si>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</si>
  <si>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</si>
  <si>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</si>
  <si>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</si>
  <si>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</si>
  <si>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</si>
  <si>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</si>
  <si>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</si>
  <si>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</si>
  <si>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</si>
  <si>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</si>
  <si>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</si>
  <si>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</si>
  <si>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</si>
  <si>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</si>
  <si>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</si>
  <si>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</si>
  <si>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</si>
  <si>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</si>
  <si>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</si>
  <si>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</si>
  <si>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</si>
  <si>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</si>
  <si>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</si>
  <si>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</si>
  <si>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</si>
  <si>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</si>
  <si>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</si>
  <si>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</si>
  <si>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</si>
  <si>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</si>
  <si>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</si>
  <si>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</si>
  <si>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</si>
  <si>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</si>
  <si>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</si>
  <si>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</si>
  <si>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</si>
  <si>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</si>
  <si>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</si>
  <si>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</si>
  <si>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</si>
  <si>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</si>
  <si>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</si>
  <si>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</si>
  <si>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</si>
  <si>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</si>
  <si>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</si>
  <si>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</si>
  <si>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</si>
  <si>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</si>
  <si>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</si>
  <si>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</si>
  <si>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</si>
  <si>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</si>
  <si>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</si>
  <si>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</si>
  <si>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</si>
  <si>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</si>
  <si>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</si>
  <si>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</si>
  <si>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</si>
  <si>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</si>
  <si>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</si>
  <si>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</si>
  <si>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</si>
  <si>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</si>
  <si>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</si>
  <si>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</si>
  <si>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</si>
  <si>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</si>
  <si>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</si>
  <si>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</si>
  <si>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</si>
  <si>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</si>
  <si>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</si>
  <si>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</si>
  <si>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</si>
  <si>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</si>
  <si>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</si>
  <si>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</si>
  <si>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</si>
  <si>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</si>
  <si>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</si>
  <si>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</si>
  <si>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</si>
  <si>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</si>
  <si>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</si>
  <si>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</si>
  <si>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</si>
  <si>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</si>
  <si>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</si>
  <si>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</si>
  <si>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</si>
  <si>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</si>
  <si>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</si>
  <si>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</si>
  <si>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</si>
  <si>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</si>
  <si>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</si>
  <si>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</si>
  <si>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</si>
  <si>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</si>
  <si>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</si>
  <si>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</si>
  <si>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</si>
  <si>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</si>
  <si>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</si>
  <si>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</si>
  <si>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</si>
  <si>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</si>
  <si>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</si>
  <si>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</si>
  <si>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</si>
  <si>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</si>
  <si>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</si>
  <si>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</si>
  <si>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</si>
  <si>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</si>
  <si>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</si>
  <si>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</si>
  <si>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</si>
  <si>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</si>
  <si>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</si>
  <si>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</si>
  <si>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</si>
  <si>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</si>
  <si>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</si>
  <si>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</si>
  <si>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</si>
  <si>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</si>
  <si>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</si>
  <si>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</si>
  <si>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</si>
  <si>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</si>
  <si>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</si>
  <si>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</si>
  <si>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</si>
  <si>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</si>
  <si>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</si>
  <si>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</si>
  <si>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</si>
  <si>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</si>
  <si>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</si>
  <si>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</si>
  <si>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</si>
  <si>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</si>
  <si>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</si>
  <si>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</si>
  <si>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</si>
  <si>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</si>
  <si>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</si>
  <si>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</si>
  <si>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</si>
  <si>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</si>
  <si>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</si>
  <si>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</si>
  <si>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</si>
  <si>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</si>
  <si>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</si>
  <si>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</si>
  <si>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</si>
  <si>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</si>
  <si>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</si>
  <si>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</si>
  <si>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</si>
  <si>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</si>
  <si>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</si>
  <si>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</si>
  <si>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</si>
  <si>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</si>
  <si>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</si>
  <si>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</si>
  <si>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</si>
  <si>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</si>
  <si>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</si>
  <si>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</si>
  <si>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</si>
  <si>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</si>
  <si>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</si>
  <si>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21:00h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</si>
  <si>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</si>
  <si>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</si>
  <si>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</si>
  <si>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</si>
  <si>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</si>
  <si>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</si>
  <si>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</si>
  <si>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</si>
  <si>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</si>
  <si>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</si>
  <si>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</si>
  <si>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</si>
  <si>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</si>
  <si>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</si>
  <si>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</si>
  <si>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</si>
  <si>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</si>
  <si>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</si>
  <si>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</si>
  <si>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</si>
  <si>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</si>
  <si>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</si>
  <si>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</si>
  <si>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23:00h</t>
  </si>
  <si>
    <t>0-2</t>
  </si>
  <si>
    <t>3-4</t>
  </si>
  <si>
    <t>2-2</t>
  </si>
  <si>
    <t>Espanya vs Argentina</t>
  </si>
  <si>
    <t>França vs Anglaterra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</si>
</sst>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C1" workbookViewId="0">
      <selection activeCell="J28" sqref="J28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10.7109375" bestFit="1" customWidth="1"/>
    <col min="7" max="7" width="9.7109375" bestFit="1" customWidth="1"/>
    <col min="8" max="8" width="9.42578125" bestFit="1" customWidth="1"/>
    <col min="9" max="9" width="10.285156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25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222</v>
      </c>
      <c r="K2" s="10" t="s">
        <v>222</v>
      </c>
      <c r="L2" s="10" t="s">
        <v>222</v>
      </c>
      <c r="N2" t="s">
        <v>157</v>
      </c>
      <c r="O2" s="3">
        <v>8</v>
      </c>
    </row>
    <row r="3" spans="1:15" x14ac:dyDescent="0.25">
      <c r="A3" s="19" t="s">
        <v>220</v>
      </c>
      <c r="B3" s="2" t="s">
        <v>223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8</v>
      </c>
    </row>
    <row r="4" spans="1:15" x14ac:dyDescent="0.25">
      <c r="A4" s="19" t="s">
        <v>220</v>
      </c>
      <c r="B4" s="2" t="s">
        <v>224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25">
      <c r="A5" s="19" t="s">
        <v>225</v>
      </c>
      <c r="B5" s="2" t="s">
        <v>221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25">
      <c r="A6" s="19" t="s">
        <v>225</v>
      </c>
      <c r="B6" s="2" t="s">
        <v>223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5">
      <c r="A7" s="19" t="s">
        <v>225</v>
      </c>
      <c r="B7" s="2" t="s">
        <v>224</v>
      </c>
      <c r="C7" s="16" t="s">
        <v>239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5">
      <c r="A8" s="19" t="s">
        <v>226</v>
      </c>
      <c r="B8" s="2" t="s">
        <v>221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25">
      <c r="A9" s="19" t="s">
        <v>226</v>
      </c>
      <c r="B9" s="2" t="s">
        <v>223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190</v>
      </c>
      <c r="O9" s="3">
        <v>0</v>
      </c>
    </row>
    <row r="10" spans="1:15" x14ac:dyDescent="0.25">
      <c r="A10" s="19" t="s">
        <v>226</v>
      </c>
      <c r="B10" s="2" t="s">
        <v>224</v>
      </c>
      <c r="C10" s="16" t="s">
        <v>111</v>
      </c>
      <c r="E10" s="14" t="str">
        <f>+C14</f>
        <v>Alemanya</v>
      </c>
      <c r="F10" s="10" t="s">
        <v>89</v>
      </c>
      <c r="N10" t="s">
        <v>205</v>
      </c>
      <c r="O10" s="3">
        <v>0</v>
      </c>
    </row>
    <row r="11" spans="1:15" x14ac:dyDescent="0.25">
      <c r="A11" s="19" t="s">
        <v>227</v>
      </c>
      <c r="B11" s="2" t="s">
        <v>221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25">
      <c r="A12" s="19" t="s">
        <v>227</v>
      </c>
      <c r="B12" s="2" t="s">
        <v>223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5">
      <c r="A13" s="19" t="s">
        <v>227</v>
      </c>
      <c r="B13" s="2" t="s">
        <v>224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5">
      <c r="A14" s="19" t="s">
        <v>228</v>
      </c>
      <c r="B14" s="2" t="s">
        <v>221</v>
      </c>
      <c r="C14" s="3" t="s">
        <v>90</v>
      </c>
      <c r="E14" s="14" t="str">
        <f>+C20</f>
        <v>Bèlgica</v>
      </c>
      <c r="F14" s="10" t="s">
        <v>96</v>
      </c>
      <c r="N14" t="s">
        <v>195</v>
      </c>
      <c r="O14" s="3">
        <v>0</v>
      </c>
    </row>
    <row r="15" spans="1:15" x14ac:dyDescent="0.25">
      <c r="A15" s="19" t="s">
        <v>228</v>
      </c>
      <c r="B15" s="2" t="s">
        <v>223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5">
      <c r="A16" s="19" t="s">
        <v>228</v>
      </c>
      <c r="B16" s="2" t="s">
        <v>224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5">
      <c r="A17" s="19" t="s">
        <v>229</v>
      </c>
      <c r="B17" s="2" t="s">
        <v>221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5">
      <c r="A18" s="19" t="s">
        <v>229</v>
      </c>
      <c r="B18" s="2" t="s">
        <v>223</v>
      </c>
      <c r="C18" s="3" t="s">
        <v>114</v>
      </c>
      <c r="E18" s="14" t="str">
        <f>+C26</f>
        <v>França</v>
      </c>
    </row>
    <row r="19" spans="1:6" x14ac:dyDescent="0.25">
      <c r="A19" s="19" t="s">
        <v>229</v>
      </c>
      <c r="B19" s="2" t="s">
        <v>224</v>
      </c>
      <c r="C19" s="16" t="s">
        <v>103</v>
      </c>
      <c r="E19" s="14" t="str">
        <f>+C27</f>
        <v>Noruega</v>
      </c>
    </row>
    <row r="20" spans="1:6" x14ac:dyDescent="0.25">
      <c r="A20" s="2" t="s">
        <v>230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25">
      <c r="A21" s="2" t="s">
        <v>230</v>
      </c>
      <c r="B21" s="2" t="s">
        <v>223</v>
      </c>
      <c r="C21" s="3" t="s">
        <v>104</v>
      </c>
      <c r="E21" s="14" t="str">
        <f>+C30</f>
        <v>Àustria</v>
      </c>
    </row>
    <row r="22" spans="1:6" x14ac:dyDescent="0.25">
      <c r="A22" s="2" t="s">
        <v>230</v>
      </c>
      <c r="B22" s="2" t="s">
        <v>224</v>
      </c>
      <c r="C22" s="16" t="s">
        <v>115</v>
      </c>
      <c r="E22" s="14" t="str">
        <f>+C32</f>
        <v>Colòmbia</v>
      </c>
    </row>
    <row r="23" spans="1:6" x14ac:dyDescent="0.25">
      <c r="A23" s="2" t="s">
        <v>231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25">
      <c r="A24" s="2" t="s">
        <v>231</v>
      </c>
      <c r="B24" s="2" t="s">
        <v>223</v>
      </c>
      <c r="C24" s="3" t="s">
        <v>142</v>
      </c>
      <c r="E24" s="14" t="str">
        <f>+C35</f>
        <v>Anglaterra</v>
      </c>
    </row>
    <row r="25" spans="1:6" x14ac:dyDescent="0.25">
      <c r="A25" s="2" t="s">
        <v>231</v>
      </c>
      <c r="B25" s="2" t="s">
        <v>224</v>
      </c>
      <c r="C25" s="16" t="s">
        <v>105</v>
      </c>
      <c r="E25" s="14" t="str">
        <f>+C36</f>
        <v>Croàcia</v>
      </c>
    </row>
    <row r="26" spans="1:6" x14ac:dyDescent="0.25">
      <c r="A26" s="2" t="s">
        <v>232</v>
      </c>
      <c r="B26" s="2" t="s">
        <v>221</v>
      </c>
      <c r="C26" s="3" t="s">
        <v>94</v>
      </c>
      <c r="E26" s="10" t="s">
        <v>127</v>
      </c>
      <c r="F26" s="3"/>
    </row>
    <row r="27" spans="1:6" x14ac:dyDescent="0.25">
      <c r="A27" s="2" t="s">
        <v>232</v>
      </c>
      <c r="B27" s="2" t="s">
        <v>223</v>
      </c>
      <c r="C27" s="3" t="s">
        <v>117</v>
      </c>
      <c r="E27" s="10" t="s">
        <v>103</v>
      </c>
    </row>
    <row r="28" spans="1:6" x14ac:dyDescent="0.25">
      <c r="A28" s="2" t="s">
        <v>232</v>
      </c>
      <c r="B28" s="2" t="s">
        <v>224</v>
      </c>
      <c r="C28" s="16" t="s">
        <v>106</v>
      </c>
      <c r="E28" s="10" t="s">
        <v>120</v>
      </c>
    </row>
    <row r="29" spans="1:6" x14ac:dyDescent="0.25">
      <c r="A29" s="2" t="s">
        <v>233</v>
      </c>
      <c r="B29" s="2" t="s">
        <v>221</v>
      </c>
      <c r="C29" s="3" t="s">
        <v>95</v>
      </c>
      <c r="E29" s="10" t="s">
        <v>102</v>
      </c>
    </row>
    <row r="30" spans="1:6" x14ac:dyDescent="0.25">
      <c r="A30" s="2" t="s">
        <v>233</v>
      </c>
      <c r="B30" s="2" t="s">
        <v>223</v>
      </c>
      <c r="C30" s="13" t="s">
        <v>107</v>
      </c>
      <c r="E30" s="10" t="s">
        <v>239</v>
      </c>
    </row>
    <row r="31" spans="1:6" x14ac:dyDescent="0.25">
      <c r="A31" s="2" t="s">
        <v>233</v>
      </c>
      <c r="B31" s="2" t="s">
        <v>224</v>
      </c>
      <c r="C31" s="17" t="s">
        <v>118</v>
      </c>
      <c r="E31" s="10" t="s">
        <v>112</v>
      </c>
    </row>
    <row r="32" spans="1:6" x14ac:dyDescent="0.25">
      <c r="A32" s="2" t="s">
        <v>234</v>
      </c>
      <c r="B32" s="2" t="s">
        <v>221</v>
      </c>
      <c r="C32" s="3" t="s">
        <v>108</v>
      </c>
      <c r="E32" s="10" t="s">
        <v>118</v>
      </c>
    </row>
    <row r="33" spans="1:5" x14ac:dyDescent="0.25">
      <c r="A33" s="2" t="s">
        <v>234</v>
      </c>
      <c r="B33" s="2" t="s">
        <v>223</v>
      </c>
      <c r="C33" s="3" t="s">
        <v>96</v>
      </c>
      <c r="E33" s="10" t="s">
        <v>106</v>
      </c>
    </row>
    <row r="34" spans="1:5" x14ac:dyDescent="0.25">
      <c r="A34" s="2" t="s">
        <v>234</v>
      </c>
      <c r="B34" s="2" t="s">
        <v>224</v>
      </c>
      <c r="C34" s="16" t="s">
        <v>127</v>
      </c>
    </row>
    <row r="35" spans="1:5" x14ac:dyDescent="0.25">
      <c r="A35" s="2" t="s">
        <v>235</v>
      </c>
      <c r="B35" s="2" t="s">
        <v>221</v>
      </c>
      <c r="C35" s="3" t="s">
        <v>97</v>
      </c>
    </row>
    <row r="36" spans="1:5" x14ac:dyDescent="0.25">
      <c r="A36" s="2" t="s">
        <v>235</v>
      </c>
      <c r="B36" s="2" t="s">
        <v>223</v>
      </c>
      <c r="C36" s="3" t="s">
        <v>109</v>
      </c>
    </row>
    <row r="37" spans="1:5" x14ac:dyDescent="0.25">
      <c r="A37" s="2" t="s">
        <v>235</v>
      </c>
      <c r="B37" s="2" t="s">
        <v>224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A16" zoomScaleNormal="60" zoomScaleSheetLayoutView="100" workbookViewId="0">
      <selection activeCell="B33" sqref="B33"/>
    </sheetView>
  </sheetViews>
  <sheetFormatPr baseColWidth="10" defaultColWidth="11.28515625" defaultRowHeight="15" x14ac:dyDescent="0.25"/>
  <cols>
    <col min="1" max="1" width="14.5703125" bestFit="1" customWidth="1"/>
    <col min="2" max="2" width="58.28515625" customWidth="1"/>
    <col min="3" max="3" width="17.85546875" bestFit="1" customWidth="1"/>
    <col min="5" max="5" width="23.140625" customWidth="1"/>
    <col min="9" max="9" width="51.7109375" customWidth="1"/>
  </cols>
  <sheetData>
    <row r="1" spans="1:5" x14ac:dyDescent="0.25">
      <c r="A1" s="18" t="s">
        <v>242</v>
      </c>
      <c r="B1" s="18" t="s">
        <v>243</v>
      </c>
      <c r="C1" s="18" t="s">
        <v>244</v>
      </c>
      <c r="D1" s="18" t="s">
        <v>245</v>
      </c>
      <c r="E1" s="18" t="s">
        <v>246</v>
      </c>
    </row>
    <row r="2" spans="1:5" x14ac:dyDescent="0.25">
      <c r="A2" t="s">
        <v>264</v>
      </c>
      <c r="B2" t="s">
        <v>248</v>
      </c>
      <c r="C2" s="20">
        <v>46201</v>
      </c>
      <c r="D2" t="s">
        <v>282</v>
      </c>
      <c r="E2" s="21" t="s">
        <v>247</v>
      </c>
    </row>
    <row r="3" spans="1:5" x14ac:dyDescent="0.25">
      <c r="A3" t="s">
        <v>264</v>
      </c>
      <c r="B3" t="s">
        <v>249</v>
      </c>
      <c r="C3" s="20">
        <v>46202</v>
      </c>
      <c r="D3" t="s">
        <v>282</v>
      </c>
      <c r="E3" s="21" t="s">
        <v>265</v>
      </c>
    </row>
    <row r="4" spans="1:5" x14ac:dyDescent="0.25">
      <c r="A4" t="s">
        <v>264</v>
      </c>
      <c r="B4" t="s">
        <v>250</v>
      </c>
      <c r="C4" s="20">
        <v>46202</v>
      </c>
      <c r="D4" t="s">
        <v>282</v>
      </c>
      <c r="E4" s="21" t="s">
        <v>266</v>
      </c>
    </row>
    <row r="5" spans="1:5" x14ac:dyDescent="0.25">
      <c r="A5" t="s">
        <v>264</v>
      </c>
      <c r="B5" t="s">
        <v>251</v>
      </c>
      <c r="C5" s="20">
        <v>46203</v>
      </c>
      <c r="D5" t="s">
        <v>282</v>
      </c>
      <c r="E5" s="21" t="s">
        <v>267</v>
      </c>
    </row>
    <row r="6" spans="1:5" x14ac:dyDescent="0.25">
      <c r="A6" t="s">
        <v>264</v>
      </c>
      <c r="B6" t="s">
        <v>252</v>
      </c>
      <c r="C6" s="20">
        <v>46203</v>
      </c>
      <c r="D6" t="s">
        <v>282</v>
      </c>
      <c r="E6" s="21" t="s">
        <v>268</v>
      </c>
    </row>
    <row r="7" spans="1:5" x14ac:dyDescent="0.25">
      <c r="A7" t="s">
        <v>264</v>
      </c>
      <c r="B7" t="s">
        <v>253</v>
      </c>
      <c r="C7" s="20">
        <v>46203</v>
      </c>
      <c r="D7" t="s">
        <v>282</v>
      </c>
      <c r="E7" s="21" t="s">
        <v>269</v>
      </c>
    </row>
    <row r="8" spans="1:5" x14ac:dyDescent="0.25">
      <c r="A8" t="s">
        <v>264</v>
      </c>
      <c r="B8" t="s">
        <v>254</v>
      </c>
      <c r="C8" s="20">
        <v>46204</v>
      </c>
      <c r="D8" t="s">
        <v>282</v>
      </c>
      <c r="E8" s="21" t="s">
        <v>164</v>
      </c>
    </row>
    <row r="9" spans="1:5" x14ac:dyDescent="0.25">
      <c r="A9" t="s">
        <v>264</v>
      </c>
      <c r="B9" t="s">
        <v>255</v>
      </c>
      <c r="C9" s="20">
        <v>46204</v>
      </c>
      <c r="D9" t="s">
        <v>282</v>
      </c>
      <c r="E9" s="21" t="s">
        <v>265</v>
      </c>
    </row>
    <row r="10" spans="1:5" x14ac:dyDescent="0.25">
      <c r="A10" t="s">
        <v>264</v>
      </c>
      <c r="B10" t="s">
        <v>256</v>
      </c>
      <c r="C10" s="20">
        <v>46204</v>
      </c>
      <c r="D10" t="s">
        <v>282</v>
      </c>
      <c r="E10" s="21" t="s">
        <v>270</v>
      </c>
    </row>
    <row r="11" spans="1:5" x14ac:dyDescent="0.25">
      <c r="A11" t="s">
        <v>264</v>
      </c>
      <c r="B11" t="s">
        <v>257</v>
      </c>
      <c r="C11" s="20">
        <v>46205</v>
      </c>
      <c r="D11" t="s">
        <v>282</v>
      </c>
      <c r="E11" s="21" t="s">
        <v>164</v>
      </c>
    </row>
    <row r="12" spans="1:5" x14ac:dyDescent="0.25">
      <c r="A12" t="s">
        <v>264</v>
      </c>
      <c r="B12" t="s">
        <v>258</v>
      </c>
      <c r="C12" s="20">
        <v>46205</v>
      </c>
      <c r="D12" t="s">
        <v>282</v>
      </c>
      <c r="E12" s="21" t="s">
        <v>269</v>
      </c>
    </row>
    <row r="13" spans="1:5" x14ac:dyDescent="0.25">
      <c r="A13" t="s">
        <v>264</v>
      </c>
      <c r="B13" t="s">
        <v>259</v>
      </c>
      <c r="C13" s="20">
        <v>46206</v>
      </c>
      <c r="D13" t="s">
        <v>282</v>
      </c>
      <c r="E13" s="21" t="s">
        <v>265</v>
      </c>
    </row>
    <row r="14" spans="1:5" x14ac:dyDescent="0.25">
      <c r="A14" t="s">
        <v>264</v>
      </c>
      <c r="B14" t="s">
        <v>260</v>
      </c>
      <c r="C14" s="20">
        <v>46206</v>
      </c>
      <c r="D14" t="s">
        <v>282</v>
      </c>
      <c r="E14" s="21" t="s">
        <v>164</v>
      </c>
    </row>
    <row r="15" spans="1:5" x14ac:dyDescent="0.25">
      <c r="A15" t="s">
        <v>264</v>
      </c>
      <c r="B15" t="s">
        <v>261</v>
      </c>
      <c r="C15" s="20">
        <v>46206</v>
      </c>
      <c r="D15" t="s">
        <v>282</v>
      </c>
      <c r="E15" s="21" t="s">
        <v>271</v>
      </c>
    </row>
    <row r="16" spans="1:5" x14ac:dyDescent="0.25">
      <c r="A16" t="s">
        <v>264</v>
      </c>
      <c r="B16" t="s">
        <v>262</v>
      </c>
      <c r="C16" s="20">
        <v>46207</v>
      </c>
      <c r="D16" t="s">
        <v>282</v>
      </c>
      <c r="E16" s="21" t="s">
        <v>270</v>
      </c>
    </row>
    <row r="17" spans="1:5" x14ac:dyDescent="0.25">
      <c r="A17" t="s">
        <v>264</v>
      </c>
      <c r="B17" t="s">
        <v>263</v>
      </c>
      <c r="C17" s="20">
        <v>46207</v>
      </c>
      <c r="D17" t="s">
        <v>282</v>
      </c>
      <c r="E17" s="21" t="s">
        <v>272</v>
      </c>
    </row>
    <row r="18" spans="1:5" x14ac:dyDescent="0.25">
      <c r="A18" t="s">
        <v>273</v>
      </c>
      <c r="B18" t="s">
        <v>281</v>
      </c>
      <c r="C18" s="20">
        <v>46207</v>
      </c>
      <c r="D18" t="s">
        <v>282</v>
      </c>
      <c r="E18" t="s">
        <v>283</v>
      </c>
    </row>
    <row r="19" spans="1:5" x14ac:dyDescent="0.25">
      <c r="A19" t="s">
        <v>273</v>
      </c>
      <c r="B19" t="s">
        <v>284</v>
      </c>
      <c r="C19" s="20">
        <v>46207</v>
      </c>
      <c r="D19" t="s">
        <v>282</v>
      </c>
      <c r="E19" t="s">
        <v>285</v>
      </c>
    </row>
    <row r="20" spans="1:5" x14ac:dyDescent="0.25">
      <c r="A20" t="s">
        <v>273</v>
      </c>
      <c r="B20" t="s">
        <v>286</v>
      </c>
      <c r="C20" s="20">
        <v>46208</v>
      </c>
      <c r="D20" t="s">
        <v>282</v>
      </c>
      <c r="E20" s="22" t="s">
        <v>268</v>
      </c>
    </row>
    <row r="21" spans="1:5" x14ac:dyDescent="0.25">
      <c r="A21" t="s">
        <v>273</v>
      </c>
      <c r="B21" t="s">
        <v>287</v>
      </c>
      <c r="C21" s="20">
        <v>46208</v>
      </c>
      <c r="D21" t="s">
        <v>282</v>
      </c>
      <c r="E21" s="22" t="s">
        <v>288</v>
      </c>
    </row>
    <row r="22" spans="1:5" x14ac:dyDescent="0.25">
      <c r="A22" t="s">
        <v>273</v>
      </c>
      <c r="B22" t="s">
        <v>274</v>
      </c>
      <c r="C22" s="20">
        <v>46209</v>
      </c>
      <c r="D22" t="s">
        <v>282</v>
      </c>
      <c r="E22" s="22" t="s">
        <v>247</v>
      </c>
    </row>
    <row r="23" spans="1:5" x14ac:dyDescent="0.25">
      <c r="A23" t="s">
        <v>273</v>
      </c>
      <c r="B23" t="s">
        <v>289</v>
      </c>
      <c r="C23" s="20">
        <v>46210</v>
      </c>
      <c r="D23" t="s">
        <v>282</v>
      </c>
      <c r="E23" s="22" t="s">
        <v>291</v>
      </c>
    </row>
    <row r="24" spans="1:5" x14ac:dyDescent="0.25">
      <c r="A24" t="s">
        <v>273</v>
      </c>
      <c r="B24" t="s">
        <v>276</v>
      </c>
      <c r="C24" s="20">
        <v>46210</v>
      </c>
      <c r="D24" t="s">
        <v>282</v>
      </c>
      <c r="E24" s="21" t="s">
        <v>270</v>
      </c>
    </row>
    <row r="25" spans="1:5" x14ac:dyDescent="0.25">
      <c r="A25" t="s">
        <v>273</v>
      </c>
      <c r="B25" t="s">
        <v>277</v>
      </c>
      <c r="C25" s="20">
        <v>46209</v>
      </c>
      <c r="D25" t="s">
        <v>282</v>
      </c>
      <c r="E25" s="21" t="s">
        <v>292</v>
      </c>
    </row>
    <row r="26" spans="1:5" x14ac:dyDescent="0.25">
      <c r="A26" t="s">
        <v>278</v>
      </c>
      <c r="B26" t="s">
        <v>279</v>
      </c>
      <c r="C26" s="20">
        <v>46212</v>
      </c>
      <c r="D26" t="s">
        <v>282</v>
      </c>
      <c r="E26" s="21" t="s">
        <v>164</v>
      </c>
    </row>
    <row r="27" spans="1:5" x14ac:dyDescent="0.25">
      <c r="A27" t="s">
        <v>278</v>
      </c>
      <c r="B27" t="s">
        <v>290</v>
      </c>
      <c r="C27" s="20">
        <v>46213</v>
      </c>
      <c r="D27" t="s">
        <v>282</v>
      </c>
      <c r="E27" s="21" t="s">
        <v>265</v>
      </c>
    </row>
    <row r="28" spans="1:5" x14ac:dyDescent="0.25">
      <c r="A28" t="s">
        <v>278</v>
      </c>
      <c r="B28" t="s">
        <v>280</v>
      </c>
      <c r="C28" s="20">
        <v>46214</v>
      </c>
      <c r="D28" t="s">
        <v>282</v>
      </c>
      <c r="E28" s="21" t="s">
        <v>268</v>
      </c>
    </row>
    <row r="29" spans="1:5" x14ac:dyDescent="0.25">
      <c r="A29" t="s">
        <v>278</v>
      </c>
      <c r="B29" t="s">
        <v>293</v>
      </c>
      <c r="C29" s="20">
        <v>46215</v>
      </c>
      <c r="D29" t="s">
        <v>282</v>
      </c>
      <c r="E29" s="21" t="s">
        <v>209</v>
      </c>
    </row>
    <row r="30" spans="1:5" x14ac:dyDescent="0.25">
      <c r="A30" t="s">
        <v>294</v>
      </c>
      <c r="B30" t="s">
        <v>295</v>
      </c>
      <c r="C30" s="20">
        <v>46217</v>
      </c>
      <c r="D30" t="s">
        <v>282</v>
      </c>
      <c r="E30" s="21" t="s">
        <v>300</v>
      </c>
    </row>
    <row r="31" spans="1:5" x14ac:dyDescent="0.25">
      <c r="A31" t="s">
        <v>294</v>
      </c>
      <c r="B31" t="s">
        <v>296</v>
      </c>
      <c r="C31" s="20">
        <v>46218</v>
      </c>
      <c r="D31" t="s">
        <v>275</v>
      </c>
      <c r="E31" s="21" t="s">
        <v>268</v>
      </c>
    </row>
    <row r="32" spans="1:5" x14ac:dyDescent="0.25">
      <c r="A32" t="s">
        <v>297</v>
      </c>
      <c r="B32" t="s">
        <v>304</v>
      </c>
      <c r="C32" s="20">
        <v>46221</v>
      </c>
      <c r="D32" t="s">
        <v>299</v>
      </c>
      <c r="E32" t="s">
        <v>222</v>
      </c>
    </row>
    <row r="33" spans="1:5" x14ac:dyDescent="0.25">
      <c r="A33" t="s">
        <v>298</v>
      </c>
      <c r="B33" t="s">
        <v>303</v>
      </c>
      <c r="C33" s="20">
        <v>46222</v>
      </c>
      <c r="D33" t="s">
        <v>275</v>
      </c>
      <c r="E33" t="s">
        <v>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CF49"/>
  <sheetViews>
    <sheetView tabSelected="1" topLeftCell="A4" zoomScale="115" zoomScaleNormal="115" workbookViewId="0">
      <selection activeCell="CF12" sqref="A12:CF12"/>
    </sheetView>
  </sheetViews>
  <sheetFormatPr baseColWidth="10" defaultColWidth="9.140625" defaultRowHeight="15" x14ac:dyDescent="0.25"/>
  <cols>
    <col min="1" max="1" width="29.42578125" bestFit="1" customWidth="1"/>
    <col min="2" max="2" width="29.42578125" hidden="1" customWidth="1"/>
    <col min="3" max="3" width="15.140625" hidden="1" customWidth="1"/>
    <col min="4" max="4" width="19.42578125" hidden="1" customWidth="1"/>
    <col min="5" max="5" width="9.5703125" hidden="1" customWidth="1"/>
    <col min="6" max="6" width="11.140625" hidden="1" customWidth="1"/>
    <col min="7" max="7" width="11.85546875" hidden="1" customWidth="1"/>
    <col min="8" max="8" width="12.5703125" hidden="1" customWidth="1"/>
    <col min="9" max="9" width="13" hidden="1" customWidth="1"/>
    <col min="10" max="10" width="9.5703125" hidden="1" customWidth="1"/>
    <col min="11" max="11" width="8.85546875" hidden="1" customWidth="1"/>
    <col min="12" max="12" width="9.7109375" hidden="1" customWidth="1"/>
    <col min="13" max="13" width="9.5703125" hidden="1" customWidth="1"/>
    <col min="14" max="14" width="10.28515625" hidden="1" customWidth="1"/>
    <col min="15" max="15" width="15.140625" hidden="1" customWidth="1"/>
    <col min="16" max="16" width="19.42578125" hidden="1" customWidth="1"/>
    <col min="17" max="17" width="10" hidden="1" customWidth="1"/>
    <col min="18" max="18" width="11.140625" hidden="1" customWidth="1"/>
    <col min="19" max="19" width="12" hidden="1" customWidth="1"/>
    <col min="20" max="20" width="12.5703125" hidden="1" customWidth="1"/>
    <col min="21" max="21" width="13" hidden="1" customWidth="1"/>
    <col min="22" max="22" width="10" hidden="1" customWidth="1"/>
    <col min="23" max="23" width="9.28515625" hidden="1" customWidth="1"/>
    <col min="24" max="24" width="9.7109375" hidden="1" customWidth="1"/>
    <col min="25" max="25" width="10" hidden="1" customWidth="1"/>
    <col min="26" max="26" width="10.28515625" hidden="1" customWidth="1"/>
    <col min="27" max="27" width="15.140625" hidden="1" customWidth="1"/>
    <col min="28" max="28" width="19.42578125" hidden="1" customWidth="1"/>
    <col min="29" max="29" width="9.5703125" hidden="1" customWidth="1"/>
    <col min="30" max="30" width="11.140625" hidden="1" customWidth="1"/>
    <col min="31" max="31" width="11.85546875" hidden="1" customWidth="1"/>
    <col min="32" max="32" width="12.5703125" hidden="1" customWidth="1"/>
    <col min="33" max="33" width="13" hidden="1" customWidth="1"/>
    <col min="34" max="34" width="13.7109375" hidden="1" customWidth="1"/>
    <col min="35" max="35" width="8.85546875" hidden="1" customWidth="1"/>
    <col min="36" max="36" width="9.28515625" hidden="1" customWidth="1"/>
    <col min="37" max="37" width="10.7109375" hidden="1" customWidth="1"/>
    <col min="38" max="38" width="9.42578125" hidden="1" customWidth="1"/>
    <col min="39" max="40" width="13.140625" hidden="1" customWidth="1"/>
    <col min="41" max="41" width="19.42578125" hidden="1" customWidth="1"/>
    <col min="42" max="43" width="12.5703125" hidden="1" customWidth="1"/>
    <col min="44" max="44" width="13.42578125" hidden="1" customWidth="1"/>
    <col min="45" max="46" width="12.5703125" hidden="1" customWidth="1"/>
    <col min="47" max="47" width="11.140625" hidden="1" customWidth="1"/>
    <col min="48" max="48" width="12.5703125" hidden="1" customWidth="1"/>
    <col min="49" max="49" width="15.140625" hidden="1" customWidth="1"/>
    <col min="50" max="50" width="11.85546875" hidden="1" customWidth="1"/>
    <col min="51" max="51" width="13.140625" hidden="1" customWidth="1"/>
    <col min="52" max="52" width="12.5703125" hidden="1" customWidth="1"/>
    <col min="53" max="54" width="11.140625" hidden="1" customWidth="1"/>
    <col min="55" max="55" width="9.85546875" hidden="1" customWidth="1"/>
    <col min="56" max="65" width="12.5703125" hidden="1" customWidth="1"/>
    <col min="66" max="66" width="10.28515625" hidden="1" customWidth="1"/>
    <col min="67" max="68" width="12.5703125" hidden="1" customWidth="1"/>
    <col min="69" max="69" width="10.28515625" hidden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153</v>
      </c>
      <c r="B2" t="s">
        <v>135</v>
      </c>
      <c r="C2" t="s">
        <v>98</v>
      </c>
      <c r="D2" t="s">
        <v>99</v>
      </c>
      <c r="E2" t="s">
        <v>100</v>
      </c>
      <c r="F2" t="s">
        <v>112</v>
      </c>
      <c r="G2" t="s">
        <v>90</v>
      </c>
      <c r="H2" t="s">
        <v>114</v>
      </c>
      <c r="I2" t="s">
        <v>104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86</v>
      </c>
      <c r="P2" t="s">
        <v>87</v>
      </c>
      <c r="Q2" t="s">
        <v>88</v>
      </c>
      <c r="R2" t="s">
        <v>89</v>
      </c>
      <c r="S2" t="s">
        <v>102</v>
      </c>
      <c r="T2" t="s">
        <v>91</v>
      </c>
      <c r="U2" t="s">
        <v>92</v>
      </c>
      <c r="V2" t="s">
        <v>105</v>
      </c>
      <c r="W2" t="s">
        <v>117</v>
      </c>
      <c r="X2" t="s">
        <v>118</v>
      </c>
      <c r="Y2" t="s">
        <v>108</v>
      </c>
      <c r="Z2" t="s">
        <v>120</v>
      </c>
      <c r="AA2" t="s">
        <v>110</v>
      </c>
      <c r="AB2" t="s">
        <v>125</v>
      </c>
      <c r="AC2" t="s">
        <v>111</v>
      </c>
      <c r="AD2" t="s">
        <v>126</v>
      </c>
      <c r="AE2" t="s">
        <v>113</v>
      </c>
      <c r="AF2" t="s">
        <v>103</v>
      </c>
      <c r="AG2" t="s">
        <v>138</v>
      </c>
      <c r="AH2" t="s">
        <v>116</v>
      </c>
      <c r="AI2" t="s">
        <v>106</v>
      </c>
      <c r="AJ2" t="s">
        <v>107</v>
      </c>
      <c r="AK2" t="s">
        <v>127</v>
      </c>
      <c r="AL2" t="s">
        <v>109</v>
      </c>
      <c r="AM2" t="s">
        <v>90</v>
      </c>
      <c r="AN2" t="s">
        <v>94</v>
      </c>
      <c r="AO2" t="s">
        <v>88</v>
      </c>
      <c r="AP2" t="s">
        <v>114</v>
      </c>
      <c r="AQ2" t="s">
        <v>120</v>
      </c>
      <c r="AR2" t="s">
        <v>93</v>
      </c>
      <c r="AS2" t="s">
        <v>112</v>
      </c>
      <c r="AT2" t="s">
        <v>104</v>
      </c>
      <c r="AU2" t="s">
        <v>100</v>
      </c>
      <c r="AV2" t="s">
        <v>117</v>
      </c>
      <c r="AW2" t="s">
        <v>86</v>
      </c>
      <c r="AX2" t="s">
        <v>97</v>
      </c>
      <c r="AY2" t="s">
        <v>95</v>
      </c>
      <c r="AZ2" t="s">
        <v>92</v>
      </c>
      <c r="BA2" t="s">
        <v>96</v>
      </c>
      <c r="BB2" t="s">
        <v>109</v>
      </c>
      <c r="BC2" t="s">
        <v>94</v>
      </c>
      <c r="BD2" t="s">
        <v>114</v>
      </c>
      <c r="BE2" t="s">
        <v>93</v>
      </c>
      <c r="BF2" t="s">
        <v>90</v>
      </c>
      <c r="BG2" t="s">
        <v>100</v>
      </c>
      <c r="BH2" t="s">
        <v>97</v>
      </c>
      <c r="BI2" t="s">
        <v>96</v>
      </c>
      <c r="BJ2" t="s">
        <v>104</v>
      </c>
      <c r="BK2" t="s">
        <v>94</v>
      </c>
      <c r="BL2" t="s">
        <v>93</v>
      </c>
      <c r="BM2" t="s">
        <v>97</v>
      </c>
      <c r="BN2" t="s">
        <v>96</v>
      </c>
      <c r="BO2" t="s">
        <v>93</v>
      </c>
      <c r="BP2" t="s">
        <v>97</v>
      </c>
      <c r="BQ2" t="s">
        <v>93</v>
      </c>
      <c r="BS2" t="s">
        <v>154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16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12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4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3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8</v>
      </c>
      <c r="CE2">
        <f>IF(BR2='Resultats Reals'!$L$2,5,0)</f>
        <v>0</v>
      </c>
      <c r="CF2" s="7">
        <f t="shared" ref="CF2:CF49" si="0">SUM(BU2:CE2)</f>
        <v>68.5</v>
      </c>
    </row>
    <row r="3" spans="1:84" x14ac:dyDescent="0.25">
      <c r="A3" t="s">
        <v>186</v>
      </c>
      <c r="B3" t="s">
        <v>85</v>
      </c>
      <c r="C3" t="s">
        <v>86</v>
      </c>
      <c r="D3" t="s">
        <v>87</v>
      </c>
      <c r="E3" t="s">
        <v>88</v>
      </c>
      <c r="F3" t="s">
        <v>101</v>
      </c>
      <c r="G3" t="s">
        <v>113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239</v>
      </c>
      <c r="Q3" t="s">
        <v>100</v>
      </c>
      <c r="R3" t="s">
        <v>89</v>
      </c>
      <c r="S3" t="s">
        <v>90</v>
      </c>
      <c r="T3" t="s">
        <v>114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99</v>
      </c>
      <c r="AC3" t="s">
        <v>111</v>
      </c>
      <c r="AD3" t="s">
        <v>112</v>
      </c>
      <c r="AE3" t="s">
        <v>102</v>
      </c>
      <c r="AF3" t="s">
        <v>103</v>
      </c>
      <c r="AG3" t="s">
        <v>115</v>
      </c>
      <c r="AH3" t="s">
        <v>116</v>
      </c>
      <c r="AI3" t="s">
        <v>117</v>
      </c>
      <c r="AJ3" t="s">
        <v>118</v>
      </c>
      <c r="AK3" t="s">
        <v>127</v>
      </c>
      <c r="AL3" t="s">
        <v>120</v>
      </c>
      <c r="AM3" t="s">
        <v>113</v>
      </c>
      <c r="AN3" t="s">
        <v>94</v>
      </c>
      <c r="AO3" t="s">
        <v>239</v>
      </c>
      <c r="AP3" t="s">
        <v>91</v>
      </c>
      <c r="AQ3" t="s">
        <v>108</v>
      </c>
      <c r="AR3" t="s">
        <v>93</v>
      </c>
      <c r="AS3" t="s">
        <v>101</v>
      </c>
      <c r="AT3" t="s">
        <v>92</v>
      </c>
      <c r="AU3" t="s">
        <v>88</v>
      </c>
      <c r="AV3" t="s">
        <v>106</v>
      </c>
      <c r="AW3" t="s">
        <v>86</v>
      </c>
      <c r="AX3" t="s">
        <v>97</v>
      </c>
      <c r="AY3" t="s">
        <v>95</v>
      </c>
      <c r="AZ3" t="s">
        <v>89</v>
      </c>
      <c r="BA3" t="s">
        <v>87</v>
      </c>
      <c r="BB3" t="s">
        <v>96</v>
      </c>
      <c r="BC3" t="s">
        <v>94</v>
      </c>
      <c r="BD3" t="s">
        <v>91</v>
      </c>
      <c r="BE3" t="s">
        <v>93</v>
      </c>
      <c r="BF3" t="s">
        <v>101</v>
      </c>
      <c r="BG3" t="s">
        <v>88</v>
      </c>
      <c r="BH3" t="s">
        <v>97</v>
      </c>
      <c r="BI3" t="s">
        <v>95</v>
      </c>
      <c r="BJ3" t="s">
        <v>96</v>
      </c>
      <c r="BK3" t="s">
        <v>91</v>
      </c>
      <c r="BL3" t="s">
        <v>93</v>
      </c>
      <c r="BM3" t="s">
        <v>97</v>
      </c>
      <c r="BN3" t="s">
        <v>88</v>
      </c>
      <c r="BO3" t="s">
        <v>91</v>
      </c>
      <c r="BP3" t="s">
        <v>97</v>
      </c>
      <c r="BQ3" t="s">
        <v>97</v>
      </c>
      <c r="BS3" t="s">
        <v>166</v>
      </c>
      <c r="BT3" t="s">
        <v>154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2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73</v>
      </c>
    </row>
    <row r="4" spans="1:84" x14ac:dyDescent="0.25">
      <c r="A4" t="s">
        <v>156</v>
      </c>
      <c r="B4" t="s">
        <v>135</v>
      </c>
      <c r="C4" t="s">
        <v>86</v>
      </c>
      <c r="D4" t="s">
        <v>87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98</v>
      </c>
      <c r="P4" t="s">
        <v>239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107</v>
      </c>
      <c r="Y4" t="s">
        <v>96</v>
      </c>
      <c r="Z4" t="s">
        <v>109</v>
      </c>
      <c r="AA4" t="s">
        <v>110</v>
      </c>
      <c r="AB4" t="s">
        <v>99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118</v>
      </c>
      <c r="AK4" t="s">
        <v>119</v>
      </c>
      <c r="AL4" t="s">
        <v>144</v>
      </c>
      <c r="AM4" t="s">
        <v>86</v>
      </c>
      <c r="AN4" t="s">
        <v>87</v>
      </c>
      <c r="AO4" t="s">
        <v>88</v>
      </c>
      <c r="AP4" t="s">
        <v>101</v>
      </c>
      <c r="AQ4" t="s">
        <v>90</v>
      </c>
      <c r="AR4" t="s">
        <v>91</v>
      </c>
      <c r="AS4" t="s">
        <v>92</v>
      </c>
      <c r="AT4" t="s">
        <v>93</v>
      </c>
      <c r="AU4" t="s">
        <v>94</v>
      </c>
      <c r="AV4" t="s">
        <v>95</v>
      </c>
      <c r="AW4" t="s">
        <v>108</v>
      </c>
      <c r="AX4" t="s">
        <v>97</v>
      </c>
      <c r="AY4" t="s">
        <v>96</v>
      </c>
      <c r="AZ4" t="s">
        <v>109</v>
      </c>
      <c r="BA4" t="s">
        <v>100</v>
      </c>
      <c r="BB4" t="s">
        <v>89</v>
      </c>
      <c r="BC4" t="s">
        <v>87</v>
      </c>
      <c r="BD4" t="s">
        <v>88</v>
      </c>
      <c r="BE4" t="s">
        <v>91</v>
      </c>
      <c r="BF4" t="s">
        <v>93</v>
      </c>
      <c r="BG4" t="s">
        <v>95</v>
      </c>
      <c r="BH4" t="s">
        <v>97</v>
      </c>
      <c r="BI4" t="s">
        <v>96</v>
      </c>
      <c r="BJ4" t="s">
        <v>100</v>
      </c>
      <c r="BK4" t="s">
        <v>88</v>
      </c>
      <c r="BL4" t="s">
        <v>93</v>
      </c>
      <c r="BM4" t="s">
        <v>95</v>
      </c>
      <c r="BN4" t="s">
        <v>100</v>
      </c>
      <c r="BO4" t="s">
        <v>93</v>
      </c>
      <c r="BP4" t="s">
        <v>95</v>
      </c>
      <c r="BQ4" t="s">
        <v>95</v>
      </c>
      <c r="BR4" s="6" t="s">
        <v>288</v>
      </c>
      <c r="BS4" t="s">
        <v>157</v>
      </c>
      <c r="BT4" t="s">
        <v>145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22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2</v>
      </c>
      <c r="CA4">
        <f>IF(COUNTIF('Resultats Reals'!$I$2:$I$3,BO4)&gt;0,3,0)+IF(COUNTIF('Resultats Reals'!$I$2:$I$3,BP4)&gt;0,3,0)</f>
        <v>6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1</v>
      </c>
      <c r="CE4">
        <f>IF(BR4='Resultats Reals'!$L$2,5,0)</f>
        <v>0</v>
      </c>
      <c r="CF4" s="7">
        <f t="shared" si="0"/>
        <v>74.5</v>
      </c>
    </row>
    <row r="5" spans="1:84" hidden="1" x14ac:dyDescent="0.25">
      <c r="A5" t="s">
        <v>139</v>
      </c>
      <c r="B5" t="s">
        <v>140</v>
      </c>
      <c r="C5" t="s">
        <v>86</v>
      </c>
      <c r="D5" t="s">
        <v>99</v>
      </c>
      <c r="E5" t="s">
        <v>88</v>
      </c>
      <c r="F5" t="s">
        <v>112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108</v>
      </c>
      <c r="N5" t="s">
        <v>109</v>
      </c>
      <c r="O5" t="s">
        <v>110</v>
      </c>
      <c r="P5" t="s">
        <v>87</v>
      </c>
      <c r="Q5" t="s">
        <v>111</v>
      </c>
      <c r="R5" t="s">
        <v>101</v>
      </c>
      <c r="S5" t="s">
        <v>102</v>
      </c>
      <c r="T5" t="s">
        <v>103</v>
      </c>
      <c r="U5" t="s">
        <v>138</v>
      </c>
      <c r="V5" t="s">
        <v>105</v>
      </c>
      <c r="W5" t="s">
        <v>106</v>
      </c>
      <c r="X5" t="s">
        <v>107</v>
      </c>
      <c r="Y5" t="s">
        <v>96</v>
      </c>
      <c r="Z5" t="s">
        <v>97</v>
      </c>
      <c r="AA5" t="s">
        <v>130</v>
      </c>
      <c r="AB5" t="s">
        <v>239</v>
      </c>
      <c r="AC5" t="s">
        <v>100</v>
      </c>
      <c r="AD5" t="s">
        <v>89</v>
      </c>
      <c r="AE5" t="s">
        <v>141</v>
      </c>
      <c r="AF5" t="s">
        <v>131</v>
      </c>
      <c r="AG5" t="s">
        <v>104</v>
      </c>
      <c r="AH5" t="s">
        <v>142</v>
      </c>
      <c r="AI5" t="s">
        <v>117</v>
      </c>
      <c r="AJ5" t="s">
        <v>143</v>
      </c>
      <c r="AK5" t="s">
        <v>119</v>
      </c>
      <c r="AL5" t="s">
        <v>144</v>
      </c>
      <c r="AM5" t="s">
        <v>90</v>
      </c>
      <c r="AN5" t="s">
        <v>94</v>
      </c>
      <c r="AO5" t="s">
        <v>87</v>
      </c>
      <c r="AP5" t="s">
        <v>91</v>
      </c>
      <c r="AQ5" t="s">
        <v>96</v>
      </c>
      <c r="AR5" t="s">
        <v>93</v>
      </c>
      <c r="AS5" t="s">
        <v>112</v>
      </c>
      <c r="AT5" t="s">
        <v>92</v>
      </c>
      <c r="AU5" t="s">
        <v>88</v>
      </c>
      <c r="AV5" t="s">
        <v>102</v>
      </c>
      <c r="AW5" t="s">
        <v>100</v>
      </c>
      <c r="AX5" t="s">
        <v>109</v>
      </c>
      <c r="AY5" t="s">
        <v>95</v>
      </c>
      <c r="AZ5" t="s">
        <v>101</v>
      </c>
      <c r="BA5" t="s">
        <v>99</v>
      </c>
      <c r="BB5" t="s">
        <v>108</v>
      </c>
      <c r="BC5" t="s">
        <v>90</v>
      </c>
      <c r="BD5" t="s">
        <v>91</v>
      </c>
      <c r="BE5" t="s">
        <v>93</v>
      </c>
      <c r="BF5" t="s">
        <v>92</v>
      </c>
      <c r="BG5" t="s">
        <v>88</v>
      </c>
      <c r="BH5" t="s">
        <v>100</v>
      </c>
      <c r="BI5" t="s">
        <v>95</v>
      </c>
      <c r="BJ5" t="s">
        <v>108</v>
      </c>
      <c r="BK5" t="s">
        <v>91</v>
      </c>
      <c r="BL5" t="s">
        <v>93</v>
      </c>
      <c r="BM5" t="s">
        <v>100</v>
      </c>
      <c r="BN5" t="s">
        <v>95</v>
      </c>
      <c r="BO5" t="s">
        <v>93</v>
      </c>
      <c r="BP5" t="s">
        <v>95</v>
      </c>
      <c r="BQ5" t="s">
        <v>95</v>
      </c>
      <c r="BR5" s="6" t="s">
        <v>268</v>
      </c>
      <c r="BS5" t="s">
        <v>145</v>
      </c>
      <c r="BT5" t="s">
        <v>145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8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2</v>
      </c>
      <c r="CA5">
        <f>IF(COUNTIF('Resultats Reals'!$I$2:$I$3,BO5)&gt;0,3,0)+IF(COUNTIF('Resultats Reals'!$I$2:$I$3,BP5)&gt;0,3,0)</f>
        <v>6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1</v>
      </c>
      <c r="CE5">
        <f>IF(BR5='Resultats Reals'!$L$2,5,0)</f>
        <v>0</v>
      </c>
      <c r="CF5" s="7">
        <f t="shared" si="0"/>
        <v>62</v>
      </c>
    </row>
    <row r="6" spans="1:84" x14ac:dyDescent="0.25">
      <c r="A6" t="s">
        <v>182</v>
      </c>
      <c r="B6" t="s">
        <v>124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125</v>
      </c>
      <c r="Q6" t="s">
        <v>100</v>
      </c>
      <c r="R6" t="s">
        <v>89</v>
      </c>
      <c r="S6" t="s">
        <v>102</v>
      </c>
      <c r="T6" t="s">
        <v>114</v>
      </c>
      <c r="U6" t="s">
        <v>104</v>
      </c>
      <c r="V6" t="s">
        <v>105</v>
      </c>
      <c r="W6" t="s">
        <v>117</v>
      </c>
      <c r="X6" t="s">
        <v>118</v>
      </c>
      <c r="Y6" t="s">
        <v>108</v>
      </c>
      <c r="Z6" t="s">
        <v>109</v>
      </c>
      <c r="AA6" t="s">
        <v>130</v>
      </c>
      <c r="AB6" t="s">
        <v>87</v>
      </c>
      <c r="AC6" t="s">
        <v>111</v>
      </c>
      <c r="AD6" t="s">
        <v>112</v>
      </c>
      <c r="AE6" t="s">
        <v>113</v>
      </c>
      <c r="AF6" t="s">
        <v>103</v>
      </c>
      <c r="AG6" t="s">
        <v>115</v>
      </c>
      <c r="AH6" t="s">
        <v>116</v>
      </c>
      <c r="AI6" t="s">
        <v>106</v>
      </c>
      <c r="AJ6" t="s">
        <v>107</v>
      </c>
      <c r="AK6" t="s">
        <v>127</v>
      </c>
      <c r="AL6" t="s">
        <v>120</v>
      </c>
      <c r="AM6" t="s">
        <v>90</v>
      </c>
      <c r="AN6" t="s">
        <v>94</v>
      </c>
      <c r="AO6" t="s">
        <v>98</v>
      </c>
      <c r="AP6" t="s">
        <v>100</v>
      </c>
      <c r="AQ6" t="s">
        <v>108</v>
      </c>
      <c r="AR6" t="s">
        <v>93</v>
      </c>
      <c r="AS6" t="s">
        <v>101</v>
      </c>
      <c r="AT6" t="s">
        <v>92</v>
      </c>
      <c r="AU6" t="s">
        <v>88</v>
      </c>
      <c r="AV6" t="s">
        <v>117</v>
      </c>
      <c r="AW6" t="s">
        <v>86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100</v>
      </c>
      <c r="BE6" t="s">
        <v>93</v>
      </c>
      <c r="BF6" t="s">
        <v>92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88</v>
      </c>
      <c r="BQ6" t="s">
        <v>93</v>
      </c>
      <c r="BS6" t="s">
        <v>121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14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13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6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3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8</v>
      </c>
      <c r="CE6">
        <f>IF(BR6='Resultats Reals'!$L$2,5,0)</f>
        <v>0</v>
      </c>
      <c r="CF6" s="7">
        <f t="shared" si="0"/>
        <v>82</v>
      </c>
    </row>
    <row r="7" spans="1:84" ht="15.75" hidden="1" customHeight="1" x14ac:dyDescent="0.25">
      <c r="A7" t="s">
        <v>207</v>
      </c>
      <c r="B7" t="s">
        <v>135</v>
      </c>
      <c r="C7" t="s">
        <v>86</v>
      </c>
      <c r="D7" t="s">
        <v>99</v>
      </c>
      <c r="E7" t="s">
        <v>88</v>
      </c>
      <c r="F7" t="s">
        <v>101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110</v>
      </c>
      <c r="P7" t="s">
        <v>87</v>
      </c>
      <c r="Q7" t="s">
        <v>100</v>
      </c>
      <c r="R7" t="s">
        <v>89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118</v>
      </c>
      <c r="Y7" t="s">
        <v>96</v>
      </c>
      <c r="Z7" t="s">
        <v>120</v>
      </c>
      <c r="AA7" t="s">
        <v>130</v>
      </c>
      <c r="AB7" t="s">
        <v>239</v>
      </c>
      <c r="AC7" t="s">
        <v>111</v>
      </c>
      <c r="AD7" t="s">
        <v>112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107</v>
      </c>
      <c r="AK7" t="s">
        <v>127</v>
      </c>
      <c r="AL7" t="s">
        <v>109</v>
      </c>
      <c r="AM7" t="s">
        <v>90</v>
      </c>
      <c r="AN7" t="s">
        <v>94</v>
      </c>
      <c r="AO7" t="s">
        <v>87</v>
      </c>
      <c r="AP7" t="s">
        <v>91</v>
      </c>
      <c r="AQ7" t="s">
        <v>96</v>
      </c>
      <c r="AR7" t="s">
        <v>93</v>
      </c>
      <c r="AS7" t="s">
        <v>101</v>
      </c>
      <c r="AT7" t="s">
        <v>92</v>
      </c>
      <c r="AU7" t="s">
        <v>88</v>
      </c>
      <c r="AV7" t="s">
        <v>117</v>
      </c>
      <c r="AW7" t="s">
        <v>86</v>
      </c>
      <c r="AX7" t="s">
        <v>97</v>
      </c>
      <c r="AY7" t="s">
        <v>95</v>
      </c>
      <c r="AZ7" t="s">
        <v>89</v>
      </c>
      <c r="BA7" t="s">
        <v>99</v>
      </c>
      <c r="BB7" t="s">
        <v>108</v>
      </c>
      <c r="BC7" t="s">
        <v>94</v>
      </c>
      <c r="BD7" t="s">
        <v>91</v>
      </c>
      <c r="BE7" t="s">
        <v>93</v>
      </c>
      <c r="BF7" t="s">
        <v>92</v>
      </c>
      <c r="BG7" t="s">
        <v>88</v>
      </c>
      <c r="BH7" t="s">
        <v>97</v>
      </c>
      <c r="BI7" t="s">
        <v>95</v>
      </c>
      <c r="BJ7" t="s">
        <v>108</v>
      </c>
      <c r="BK7" t="s">
        <v>94</v>
      </c>
      <c r="BL7" t="s">
        <v>93</v>
      </c>
      <c r="BM7" t="s">
        <v>97</v>
      </c>
      <c r="BN7" t="s">
        <v>95</v>
      </c>
      <c r="BO7" t="s">
        <v>93</v>
      </c>
      <c r="BP7" t="s">
        <v>97</v>
      </c>
      <c r="BQ7" t="s">
        <v>93</v>
      </c>
      <c r="BR7" s="6" t="s">
        <v>164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15.5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13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5</v>
      </c>
      <c r="BZ7">
        <f>IF(COUNTIF('Resultats Reals'!$H$2:$H$5,BK7)&gt;0,1,0)+IF(COUNTIF('Resultats Reals'!$H$2:$H$5,BL7)&gt;0,1,0)+IF(COUNTIF('Resultats Reals'!$H$2:$H$5,BM7)&gt;0,1,0)+IF(COUNTIF('Resultats Reals'!$H$2:$H$5,BN7)&gt;0,1,0)</f>
        <v>4</v>
      </c>
      <c r="CA7">
        <f>IF(COUNTIF('Resultats Reals'!$I$2:$I$3,BO7)&gt;0,3,0)+IF(COUNTIF('Resultats Reals'!$I$2:$I$3,BP7)&gt;0,3,0)</f>
        <v>3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8</v>
      </c>
      <c r="CE7">
        <f>IF(BR7='Resultats Reals'!$L$2,5,0)</f>
        <v>0</v>
      </c>
      <c r="CF7" s="7">
        <f t="shared" si="0"/>
        <v>82.5</v>
      </c>
    </row>
    <row r="8" spans="1:84" hidden="1" x14ac:dyDescent="0.25">
      <c r="A8" t="s">
        <v>204</v>
      </c>
      <c r="B8" t="s">
        <v>85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113</v>
      </c>
      <c r="T8" t="s">
        <v>114</v>
      </c>
      <c r="U8" t="s">
        <v>104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239</v>
      </c>
      <c r="AC8" t="s">
        <v>111</v>
      </c>
      <c r="AD8" t="s">
        <v>112</v>
      </c>
      <c r="AE8" t="s">
        <v>102</v>
      </c>
      <c r="AF8" t="s">
        <v>103</v>
      </c>
      <c r="AG8" t="s">
        <v>115</v>
      </c>
      <c r="AH8" t="s">
        <v>142</v>
      </c>
      <c r="AI8" t="s">
        <v>106</v>
      </c>
      <c r="AJ8" t="s">
        <v>118</v>
      </c>
      <c r="AK8" t="s">
        <v>127</v>
      </c>
      <c r="AL8" t="s">
        <v>120</v>
      </c>
      <c r="AM8" t="s">
        <v>90</v>
      </c>
      <c r="AN8" t="s">
        <v>94</v>
      </c>
      <c r="AO8" t="s">
        <v>86</v>
      </c>
      <c r="AP8" t="s">
        <v>100</v>
      </c>
      <c r="AQ8" t="s">
        <v>109</v>
      </c>
      <c r="AR8" t="s">
        <v>93</v>
      </c>
      <c r="AS8" t="s">
        <v>103</v>
      </c>
      <c r="AT8" t="s">
        <v>92</v>
      </c>
      <c r="AU8" t="s">
        <v>88</v>
      </c>
      <c r="AV8" t="s">
        <v>117</v>
      </c>
      <c r="AW8" t="s">
        <v>89</v>
      </c>
      <c r="AX8" t="s">
        <v>97</v>
      </c>
      <c r="AY8" t="s">
        <v>95</v>
      </c>
      <c r="AZ8" t="s">
        <v>101</v>
      </c>
      <c r="BA8" t="s">
        <v>87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94</v>
      </c>
      <c r="BP8" t="s">
        <v>93</v>
      </c>
      <c r="BQ8" t="s">
        <v>93</v>
      </c>
      <c r="BR8" s="6" t="s">
        <v>301</v>
      </c>
      <c r="BS8" t="s">
        <v>121</v>
      </c>
      <c r="BT8" t="s">
        <v>205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18.5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3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82.5</v>
      </c>
    </row>
    <row r="9" spans="1:84" x14ac:dyDescent="0.25">
      <c r="A9" t="s">
        <v>199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113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102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127</v>
      </c>
      <c r="AL9" t="s">
        <v>120</v>
      </c>
      <c r="AM9" t="s">
        <v>86</v>
      </c>
      <c r="AN9" t="s">
        <v>99</v>
      </c>
      <c r="AO9" t="s">
        <v>88</v>
      </c>
      <c r="AP9" t="s">
        <v>89</v>
      </c>
      <c r="AQ9" t="s">
        <v>90</v>
      </c>
      <c r="AR9" t="s">
        <v>91</v>
      </c>
      <c r="AS9" t="s">
        <v>92</v>
      </c>
      <c r="AT9" t="s">
        <v>93</v>
      </c>
      <c r="AU9" t="s">
        <v>94</v>
      </c>
      <c r="AV9" t="s">
        <v>95</v>
      </c>
      <c r="AW9" t="s">
        <v>96</v>
      </c>
      <c r="AX9" t="s">
        <v>97</v>
      </c>
      <c r="AY9" t="s">
        <v>98</v>
      </c>
      <c r="AZ9" t="s">
        <v>87</v>
      </c>
      <c r="BA9" t="s">
        <v>105</v>
      </c>
      <c r="BB9" t="s">
        <v>109</v>
      </c>
      <c r="BC9" t="s">
        <v>93</v>
      </c>
      <c r="BD9" t="s">
        <v>94</v>
      </c>
      <c r="BE9" t="s">
        <v>95</v>
      </c>
      <c r="BF9" t="s">
        <v>88</v>
      </c>
      <c r="BG9" t="s">
        <v>97</v>
      </c>
      <c r="BH9" t="s">
        <v>96</v>
      </c>
      <c r="BI9" t="s">
        <v>90</v>
      </c>
      <c r="BJ9" t="s">
        <v>91</v>
      </c>
      <c r="BK9" t="s">
        <v>93</v>
      </c>
      <c r="BL9" t="s">
        <v>94</v>
      </c>
      <c r="BM9" t="s">
        <v>95</v>
      </c>
      <c r="BN9" t="s">
        <v>88</v>
      </c>
      <c r="BO9" t="s">
        <v>93</v>
      </c>
      <c r="BP9" t="s">
        <v>95</v>
      </c>
      <c r="BQ9" t="s">
        <v>93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14.5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6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8</v>
      </c>
      <c r="CE9">
        <f>IF(BR9='Resultats Reals'!$L$2,5,0)</f>
        <v>0</v>
      </c>
      <c r="CF9" s="7">
        <f t="shared" si="0"/>
        <v>81.5</v>
      </c>
    </row>
    <row r="10" spans="1:84" hidden="1" x14ac:dyDescent="0.25">
      <c r="A10" t="s">
        <v>146</v>
      </c>
      <c r="B10" t="s">
        <v>147</v>
      </c>
      <c r="C10" t="s">
        <v>86</v>
      </c>
      <c r="D10" t="s">
        <v>87</v>
      </c>
      <c r="E10" t="s">
        <v>100</v>
      </c>
      <c r="F10" t="s">
        <v>101</v>
      </c>
      <c r="G10" t="s">
        <v>102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98</v>
      </c>
      <c r="P10" t="s">
        <v>99</v>
      </c>
      <c r="Q10" t="s">
        <v>88</v>
      </c>
      <c r="R10" t="s">
        <v>89</v>
      </c>
      <c r="S10" t="s">
        <v>90</v>
      </c>
      <c r="T10" t="s">
        <v>114</v>
      </c>
      <c r="U10" t="s">
        <v>104</v>
      </c>
      <c r="V10" t="s">
        <v>105</v>
      </c>
      <c r="W10" t="s">
        <v>106</v>
      </c>
      <c r="X10" t="s">
        <v>107</v>
      </c>
      <c r="Y10" t="s">
        <v>108</v>
      </c>
      <c r="Z10" t="s">
        <v>109</v>
      </c>
      <c r="AA10" t="s">
        <v>110</v>
      </c>
      <c r="AB10" t="s">
        <v>239</v>
      </c>
      <c r="AC10" t="s">
        <v>111</v>
      </c>
      <c r="AD10" t="s">
        <v>126</v>
      </c>
      <c r="AE10" t="s">
        <v>113</v>
      </c>
      <c r="AF10" t="s">
        <v>103</v>
      </c>
      <c r="AG10" t="s">
        <v>115</v>
      </c>
      <c r="AH10" t="s">
        <v>116</v>
      </c>
      <c r="AI10" t="s">
        <v>117</v>
      </c>
      <c r="AJ10" t="s">
        <v>118</v>
      </c>
      <c r="AK10" t="s">
        <v>127</v>
      </c>
      <c r="AL10" t="s">
        <v>120</v>
      </c>
      <c r="AM10" t="s">
        <v>102</v>
      </c>
      <c r="AN10" t="s">
        <v>94</v>
      </c>
      <c r="AO10" t="s">
        <v>99</v>
      </c>
      <c r="AP10" t="s">
        <v>88</v>
      </c>
      <c r="AQ10" t="s">
        <v>108</v>
      </c>
      <c r="AR10" t="s">
        <v>93</v>
      </c>
      <c r="AS10" t="s">
        <v>101</v>
      </c>
      <c r="AT10" t="s">
        <v>92</v>
      </c>
      <c r="AU10" t="s">
        <v>100</v>
      </c>
      <c r="AV10" t="s">
        <v>90</v>
      </c>
      <c r="AW10" t="s">
        <v>86</v>
      </c>
      <c r="AX10" t="s">
        <v>97</v>
      </c>
      <c r="AY10" t="s">
        <v>95</v>
      </c>
      <c r="AZ10" t="s">
        <v>104</v>
      </c>
      <c r="BA10" t="s">
        <v>87</v>
      </c>
      <c r="BB10" t="s">
        <v>96</v>
      </c>
      <c r="BC10" t="s">
        <v>94</v>
      </c>
      <c r="BD10" t="s">
        <v>88</v>
      </c>
      <c r="BE10" t="s">
        <v>93</v>
      </c>
      <c r="BF10" t="s">
        <v>101</v>
      </c>
      <c r="BG10" t="s">
        <v>100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100</v>
      </c>
      <c r="BN10" t="s">
        <v>96</v>
      </c>
      <c r="BO10" t="s">
        <v>93</v>
      </c>
      <c r="BP10" t="s">
        <v>96</v>
      </c>
      <c r="BQ10" t="s">
        <v>93</v>
      </c>
      <c r="BR10" s="6" t="s">
        <v>148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19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15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3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8</v>
      </c>
      <c r="CE10">
        <f>IF(BR10='Resultats Reals'!$L$2,5,0)</f>
        <v>0</v>
      </c>
      <c r="CF10" s="7">
        <f t="shared" si="0"/>
        <v>79</v>
      </c>
    </row>
    <row r="11" spans="1:84" x14ac:dyDescent="0.25">
      <c r="A11" t="s">
        <v>167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89</v>
      </c>
      <c r="S11" t="s">
        <v>102</v>
      </c>
      <c r="T11" t="s">
        <v>114</v>
      </c>
      <c r="U11" t="s">
        <v>104</v>
      </c>
      <c r="V11" t="s">
        <v>105</v>
      </c>
      <c r="W11" t="s">
        <v>106</v>
      </c>
      <c r="X11" t="s">
        <v>118</v>
      </c>
      <c r="Y11" t="s">
        <v>108</v>
      </c>
      <c r="Z11" t="s">
        <v>109</v>
      </c>
      <c r="AA11" t="s">
        <v>98</v>
      </c>
      <c r="AB11" t="s">
        <v>239</v>
      </c>
      <c r="AC11" t="s">
        <v>111</v>
      </c>
      <c r="AD11" t="s">
        <v>126</v>
      </c>
      <c r="AE11" t="s">
        <v>113</v>
      </c>
      <c r="AF11" t="s">
        <v>103</v>
      </c>
      <c r="AG11" t="s">
        <v>115</v>
      </c>
      <c r="AH11" t="s">
        <v>116</v>
      </c>
      <c r="AI11" t="s">
        <v>117</v>
      </c>
      <c r="AJ11" t="s">
        <v>107</v>
      </c>
      <c r="AK11" t="s">
        <v>119</v>
      </c>
      <c r="AL11" t="s">
        <v>120</v>
      </c>
      <c r="AM11" t="s">
        <v>93</v>
      </c>
      <c r="AN11" t="s">
        <v>88</v>
      </c>
      <c r="AO11" t="s">
        <v>100</v>
      </c>
      <c r="AP11" t="s">
        <v>90</v>
      </c>
      <c r="AQ11" t="s">
        <v>95</v>
      </c>
      <c r="AR11" t="s">
        <v>94</v>
      </c>
      <c r="AS11" t="s">
        <v>96</v>
      </c>
      <c r="AT11" t="s">
        <v>97</v>
      </c>
      <c r="AU11" t="s">
        <v>109</v>
      </c>
      <c r="AV11" t="s">
        <v>108</v>
      </c>
      <c r="AW11" t="s">
        <v>102</v>
      </c>
      <c r="AX11" t="s">
        <v>86</v>
      </c>
      <c r="AY11" t="s">
        <v>101</v>
      </c>
      <c r="AZ11" t="s">
        <v>91</v>
      </c>
      <c r="BA11" t="s">
        <v>92</v>
      </c>
      <c r="BB11" t="s">
        <v>106</v>
      </c>
      <c r="BC11" t="s">
        <v>93</v>
      </c>
      <c r="BD11" t="s">
        <v>88</v>
      </c>
      <c r="BE11" t="s">
        <v>100</v>
      </c>
      <c r="BF11" t="s">
        <v>90</v>
      </c>
      <c r="BG11" t="s">
        <v>95</v>
      </c>
      <c r="BH11" t="s">
        <v>94</v>
      </c>
      <c r="BI11" t="s">
        <v>96</v>
      </c>
      <c r="BJ11" t="s">
        <v>97</v>
      </c>
      <c r="BK11" t="s">
        <v>93</v>
      </c>
      <c r="BL11" t="s">
        <v>88</v>
      </c>
      <c r="BM11" t="s">
        <v>94</v>
      </c>
      <c r="BN11" t="s">
        <v>97</v>
      </c>
      <c r="BO11" t="s">
        <v>93</v>
      </c>
      <c r="BP11" t="s">
        <v>88</v>
      </c>
      <c r="BQ11" t="s">
        <v>93</v>
      </c>
      <c r="BR11" s="6" t="s">
        <v>265</v>
      </c>
      <c r="BS11" t="s">
        <v>121</v>
      </c>
      <c r="BT11" t="s">
        <v>128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21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5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3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8</v>
      </c>
      <c r="CE11">
        <f>IF(BR11='Resultats Reals'!$L$2,5,0)</f>
        <v>0</v>
      </c>
      <c r="CF11" s="7">
        <f t="shared" si="0"/>
        <v>76.5</v>
      </c>
    </row>
    <row r="12" spans="1:84" x14ac:dyDescent="0.25">
      <c r="A12" t="s">
        <v>149</v>
      </c>
      <c r="B12" t="s">
        <v>135</v>
      </c>
      <c r="C12" t="s">
        <v>86</v>
      </c>
      <c r="D12" t="s">
        <v>99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110</v>
      </c>
      <c r="P12" t="s">
        <v>239</v>
      </c>
      <c r="Q12" t="s">
        <v>100</v>
      </c>
      <c r="R12" t="s">
        <v>89</v>
      </c>
      <c r="S12" t="s">
        <v>113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109</v>
      </c>
      <c r="AA12" t="s">
        <v>98</v>
      </c>
      <c r="AB12" t="s">
        <v>87</v>
      </c>
      <c r="AC12" t="s">
        <v>111</v>
      </c>
      <c r="AD12" t="s">
        <v>112</v>
      </c>
      <c r="AE12" t="s">
        <v>102</v>
      </c>
      <c r="AF12" t="s">
        <v>103</v>
      </c>
      <c r="AG12" t="s">
        <v>115</v>
      </c>
      <c r="AH12" t="s">
        <v>116</v>
      </c>
      <c r="AI12" t="s">
        <v>106</v>
      </c>
      <c r="AJ12" t="s">
        <v>118</v>
      </c>
      <c r="AK12" t="s">
        <v>127</v>
      </c>
      <c r="AL12" t="s">
        <v>120</v>
      </c>
      <c r="AM12" t="s">
        <v>90</v>
      </c>
      <c r="AN12" t="s">
        <v>94</v>
      </c>
      <c r="AO12" t="s">
        <v>110</v>
      </c>
      <c r="AP12" t="s">
        <v>91</v>
      </c>
      <c r="AQ12" t="s">
        <v>109</v>
      </c>
      <c r="AR12" t="s">
        <v>93</v>
      </c>
      <c r="AS12" t="s">
        <v>87</v>
      </c>
      <c r="AT12" t="s">
        <v>106</v>
      </c>
      <c r="AU12" t="s">
        <v>88</v>
      </c>
      <c r="AV12" t="s">
        <v>117</v>
      </c>
      <c r="AW12" t="s">
        <v>102</v>
      </c>
      <c r="AX12" t="s">
        <v>97</v>
      </c>
      <c r="AY12" t="s">
        <v>95</v>
      </c>
      <c r="AZ12" t="s">
        <v>104</v>
      </c>
      <c r="BA12" t="s">
        <v>99</v>
      </c>
      <c r="BB12" t="s">
        <v>96</v>
      </c>
      <c r="BC12" t="s">
        <v>94</v>
      </c>
      <c r="BD12" t="s">
        <v>91</v>
      </c>
      <c r="BE12" t="s">
        <v>93</v>
      </c>
      <c r="BF12" t="s">
        <v>106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93</v>
      </c>
      <c r="BP12" t="s">
        <v>95</v>
      </c>
      <c r="BQ12" t="s">
        <v>93</v>
      </c>
      <c r="BS12" t="s">
        <v>150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20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17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16.5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6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8</v>
      </c>
      <c r="CE12">
        <f>IF(BR12='Resultats Reals'!$L$2,5,0)</f>
        <v>0</v>
      </c>
      <c r="CF12" s="7">
        <f t="shared" si="0"/>
        <v>84.5</v>
      </c>
    </row>
    <row r="13" spans="1:84" hidden="1" x14ac:dyDescent="0.25">
      <c r="A13" t="s">
        <v>84</v>
      </c>
      <c r="B13" t="s">
        <v>85</v>
      </c>
      <c r="C13" t="s">
        <v>86</v>
      </c>
      <c r="D13" t="s">
        <v>87</v>
      </c>
      <c r="E13" t="s">
        <v>88</v>
      </c>
      <c r="F13" t="s">
        <v>89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101</v>
      </c>
      <c r="S13" t="s">
        <v>102</v>
      </c>
      <c r="T13" t="s">
        <v>103</v>
      </c>
      <c r="U13" t="s">
        <v>104</v>
      </c>
      <c r="V13" t="s">
        <v>105</v>
      </c>
      <c r="W13" t="s">
        <v>106</v>
      </c>
      <c r="X13" t="s">
        <v>107</v>
      </c>
      <c r="Y13" t="s">
        <v>108</v>
      </c>
      <c r="Z13" t="s">
        <v>109</v>
      </c>
      <c r="AA13" t="s">
        <v>110</v>
      </c>
      <c r="AB13" t="s">
        <v>239</v>
      </c>
      <c r="AC13" t="s">
        <v>111</v>
      </c>
      <c r="AD13" t="s">
        <v>112</v>
      </c>
      <c r="AE13" t="s">
        <v>113</v>
      </c>
      <c r="AF13" t="s">
        <v>114</v>
      </c>
      <c r="AG13" t="s">
        <v>115</v>
      </c>
      <c r="AH13" t="s">
        <v>116</v>
      </c>
      <c r="AI13" t="s">
        <v>117</v>
      </c>
      <c r="AJ13" t="s">
        <v>118</v>
      </c>
      <c r="AK13" t="s">
        <v>119</v>
      </c>
      <c r="AL13" t="s">
        <v>120</v>
      </c>
      <c r="AM13" t="s">
        <v>99</v>
      </c>
      <c r="AN13" t="s">
        <v>88</v>
      </c>
      <c r="AO13" t="s">
        <v>90</v>
      </c>
      <c r="AP13" t="s">
        <v>91</v>
      </c>
      <c r="AQ13" t="s">
        <v>102</v>
      </c>
      <c r="AR13" t="s">
        <v>94</v>
      </c>
      <c r="AS13" t="s">
        <v>86</v>
      </c>
      <c r="AT13" t="s">
        <v>97</v>
      </c>
      <c r="AU13" t="s">
        <v>92</v>
      </c>
      <c r="AV13" t="s">
        <v>89</v>
      </c>
      <c r="AW13" t="s">
        <v>93</v>
      </c>
      <c r="AX13" t="s">
        <v>109</v>
      </c>
      <c r="AY13" t="s">
        <v>87</v>
      </c>
      <c r="AZ13" t="s">
        <v>101</v>
      </c>
      <c r="BA13" t="s">
        <v>95</v>
      </c>
      <c r="BB13" t="s">
        <v>96</v>
      </c>
      <c r="BC13" t="s">
        <v>88</v>
      </c>
      <c r="BD13" t="s">
        <v>90</v>
      </c>
      <c r="BE13" t="s">
        <v>94</v>
      </c>
      <c r="BF13" t="s">
        <v>97</v>
      </c>
      <c r="BG13" t="s">
        <v>92</v>
      </c>
      <c r="BH13" t="s">
        <v>93</v>
      </c>
      <c r="BI13" t="s">
        <v>87</v>
      </c>
      <c r="BJ13" t="s">
        <v>95</v>
      </c>
      <c r="BK13" t="s">
        <v>90</v>
      </c>
      <c r="BL13" t="s">
        <v>97</v>
      </c>
      <c r="BM13" t="s">
        <v>93</v>
      </c>
      <c r="BN13" t="s">
        <v>95</v>
      </c>
      <c r="BO13" t="s">
        <v>97</v>
      </c>
      <c r="BP13" t="s">
        <v>93</v>
      </c>
      <c r="BQ13" t="s">
        <v>93</v>
      </c>
      <c r="BR13" s="6" t="s">
        <v>164</v>
      </c>
      <c r="BS13" t="s">
        <v>121</v>
      </c>
      <c r="BT13" t="s">
        <v>122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6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3</v>
      </c>
      <c r="CA13">
        <f>IF(COUNTIF('Resultats Reals'!$I$2:$I$3,BO13)&gt;0,3,0)+IF(COUNTIF('Resultats Reals'!$I$2:$I$3,BP13)&gt;0,3,0)</f>
        <v>3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 t="shared" si="0"/>
        <v>76</v>
      </c>
    </row>
    <row r="14" spans="1:84" hidden="1" x14ac:dyDescent="0.25">
      <c r="A14" t="s">
        <v>175</v>
      </c>
      <c r="B14" t="s">
        <v>163</v>
      </c>
      <c r="C14" t="s">
        <v>86</v>
      </c>
      <c r="D14" t="s">
        <v>87</v>
      </c>
      <c r="E14" t="s">
        <v>88</v>
      </c>
      <c r="F14" t="s">
        <v>112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99</v>
      </c>
      <c r="Q14" t="s">
        <v>100</v>
      </c>
      <c r="R14" t="s">
        <v>89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118</v>
      </c>
      <c r="Y14" t="s">
        <v>108</v>
      </c>
      <c r="Z14" t="s">
        <v>109</v>
      </c>
      <c r="AA14" t="s">
        <v>130</v>
      </c>
      <c r="AB14" t="s">
        <v>125</v>
      </c>
      <c r="AC14" t="s">
        <v>111</v>
      </c>
      <c r="AD14" t="s">
        <v>101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107</v>
      </c>
      <c r="AK14" t="s">
        <v>127</v>
      </c>
      <c r="AL14" t="s">
        <v>144</v>
      </c>
      <c r="AM14" t="s">
        <v>90</v>
      </c>
      <c r="AN14" t="s">
        <v>94</v>
      </c>
      <c r="AO14" t="s">
        <v>98</v>
      </c>
      <c r="AP14" t="s">
        <v>100</v>
      </c>
      <c r="AQ14" t="s">
        <v>109</v>
      </c>
      <c r="AR14" t="s">
        <v>93</v>
      </c>
      <c r="AS14" t="s">
        <v>112</v>
      </c>
      <c r="AT14" t="s">
        <v>92</v>
      </c>
      <c r="AU14" t="s">
        <v>88</v>
      </c>
      <c r="AV14" t="s">
        <v>117</v>
      </c>
      <c r="AW14" t="s">
        <v>86</v>
      </c>
      <c r="AX14" t="s">
        <v>97</v>
      </c>
      <c r="AY14" t="s">
        <v>95</v>
      </c>
      <c r="AZ14" t="s">
        <v>104</v>
      </c>
      <c r="BA14" t="s">
        <v>87</v>
      </c>
      <c r="BB14" t="s">
        <v>96</v>
      </c>
      <c r="BC14" t="s">
        <v>94</v>
      </c>
      <c r="BD14" t="s">
        <v>100</v>
      </c>
      <c r="BE14" t="s">
        <v>93</v>
      </c>
      <c r="BF14" t="s">
        <v>92</v>
      </c>
      <c r="BG14" t="s">
        <v>88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88</v>
      </c>
      <c r="BN14" t="s">
        <v>95</v>
      </c>
      <c r="BO14" t="s">
        <v>93</v>
      </c>
      <c r="BP14" t="s">
        <v>95</v>
      </c>
      <c r="BQ14" t="s">
        <v>93</v>
      </c>
      <c r="BR14" s="6" t="s">
        <v>265</v>
      </c>
      <c r="BS14" t="s">
        <v>128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22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10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13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6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6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8</v>
      </c>
      <c r="CE14">
        <f>IF(BR14='Resultats Reals'!$L$2,5,0)</f>
        <v>0</v>
      </c>
      <c r="CF14" s="7">
        <f t="shared" si="0"/>
        <v>84</v>
      </c>
    </row>
    <row r="15" spans="1:84" hidden="1" x14ac:dyDescent="0.25">
      <c r="A15" t="s">
        <v>208</v>
      </c>
      <c r="B15" t="s">
        <v>85</v>
      </c>
      <c r="C15" t="s">
        <v>86</v>
      </c>
      <c r="D15" t="s">
        <v>99</v>
      </c>
      <c r="E15" t="s">
        <v>88</v>
      </c>
      <c r="F15" t="s">
        <v>112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87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106</v>
      </c>
      <c r="X15" t="s">
        <v>107</v>
      </c>
      <c r="Y15" t="s">
        <v>108</v>
      </c>
      <c r="Z15" t="s">
        <v>109</v>
      </c>
      <c r="AA15" t="s">
        <v>130</v>
      </c>
      <c r="AB15" t="s">
        <v>125</v>
      </c>
      <c r="AC15" t="s">
        <v>111</v>
      </c>
      <c r="AD15" t="s">
        <v>101</v>
      </c>
      <c r="AE15" t="s">
        <v>113</v>
      </c>
      <c r="AF15" t="s">
        <v>131</v>
      </c>
      <c r="AG15" t="s">
        <v>115</v>
      </c>
      <c r="AH15" t="s">
        <v>116</v>
      </c>
      <c r="AI15" t="s">
        <v>117</v>
      </c>
      <c r="AJ15" t="s">
        <v>118</v>
      </c>
      <c r="AK15" t="s">
        <v>127</v>
      </c>
      <c r="AL15" t="s">
        <v>120</v>
      </c>
      <c r="AM15" t="s">
        <v>88</v>
      </c>
      <c r="AN15" t="s">
        <v>86</v>
      </c>
      <c r="AO15" t="s">
        <v>90</v>
      </c>
      <c r="AP15" t="s">
        <v>91</v>
      </c>
      <c r="AQ15" t="s">
        <v>93</v>
      </c>
      <c r="AR15" t="s">
        <v>94</v>
      </c>
      <c r="AS15" t="s">
        <v>95</v>
      </c>
      <c r="AT15" t="s">
        <v>96</v>
      </c>
      <c r="AU15" t="s">
        <v>97</v>
      </c>
      <c r="AV15" t="s">
        <v>100</v>
      </c>
      <c r="AW15" t="s">
        <v>105</v>
      </c>
      <c r="AX15" t="s">
        <v>102</v>
      </c>
      <c r="AY15" t="s">
        <v>108</v>
      </c>
      <c r="AZ15" t="s">
        <v>92</v>
      </c>
      <c r="BA15" t="s">
        <v>114</v>
      </c>
      <c r="BB15" t="s">
        <v>109</v>
      </c>
      <c r="BC15" t="s">
        <v>93</v>
      </c>
      <c r="BD15" t="s">
        <v>94</v>
      </c>
      <c r="BE15" t="s">
        <v>96</v>
      </c>
      <c r="BF15" t="s">
        <v>95</v>
      </c>
      <c r="BG15" t="s">
        <v>97</v>
      </c>
      <c r="BH15" t="s">
        <v>91</v>
      </c>
      <c r="BI15" t="s">
        <v>88</v>
      </c>
      <c r="BJ15" t="s">
        <v>90</v>
      </c>
      <c r="BK15" t="s">
        <v>93</v>
      </c>
      <c r="BL15" t="s">
        <v>94</v>
      </c>
      <c r="BM15" t="s">
        <v>95</v>
      </c>
      <c r="BN15" t="s">
        <v>96</v>
      </c>
      <c r="BO15" t="s">
        <v>93</v>
      </c>
      <c r="BP15" t="s">
        <v>96</v>
      </c>
      <c r="BQ15" t="s">
        <v>93</v>
      </c>
      <c r="BR15" s="6" t="s">
        <v>209</v>
      </c>
      <c r="BS15" t="s">
        <v>128</v>
      </c>
      <c r="BT15" t="s">
        <v>121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21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10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3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1</v>
      </c>
      <c r="CE15">
        <f>IF(BR15='Resultats Reals'!$L$2,5,0)</f>
        <v>0</v>
      </c>
      <c r="CF15" s="7">
        <f t="shared" si="0"/>
        <v>67</v>
      </c>
    </row>
    <row r="16" spans="1:84" hidden="1" x14ac:dyDescent="0.25">
      <c r="A16" t="s">
        <v>168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110</v>
      </c>
      <c r="P16" t="s">
        <v>239</v>
      </c>
      <c r="Q16" t="s">
        <v>100</v>
      </c>
      <c r="R16" t="s">
        <v>112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107</v>
      </c>
      <c r="Y16" t="s">
        <v>108</v>
      </c>
      <c r="Z16" t="s">
        <v>109</v>
      </c>
      <c r="AA16" t="s">
        <v>98</v>
      </c>
      <c r="AB16" t="s">
        <v>99</v>
      </c>
      <c r="AC16" t="s">
        <v>111</v>
      </c>
      <c r="AD16" t="s">
        <v>89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118</v>
      </c>
      <c r="AK16" t="s">
        <v>127</v>
      </c>
      <c r="AL16" t="s">
        <v>120</v>
      </c>
      <c r="AM16" t="s">
        <v>102</v>
      </c>
      <c r="AN16" t="s">
        <v>94</v>
      </c>
      <c r="AO16" t="s">
        <v>110</v>
      </c>
      <c r="AP16" t="s">
        <v>91</v>
      </c>
      <c r="AQ16" t="s">
        <v>108</v>
      </c>
      <c r="AR16" t="s">
        <v>93</v>
      </c>
      <c r="AS16" t="s">
        <v>101</v>
      </c>
      <c r="AT16" t="s">
        <v>92</v>
      </c>
      <c r="AU16" t="s">
        <v>88</v>
      </c>
      <c r="AV16" t="s">
        <v>90</v>
      </c>
      <c r="AW16" t="s">
        <v>86</v>
      </c>
      <c r="AX16" t="s">
        <v>97</v>
      </c>
      <c r="AY16" t="s">
        <v>95</v>
      </c>
      <c r="AZ16" t="s">
        <v>112</v>
      </c>
      <c r="BA16" t="s">
        <v>87</v>
      </c>
      <c r="BB16" t="s">
        <v>96</v>
      </c>
      <c r="BC16" t="s">
        <v>94</v>
      </c>
      <c r="BD16" t="s">
        <v>91</v>
      </c>
      <c r="BE16" t="s">
        <v>93</v>
      </c>
      <c r="BF16" t="s">
        <v>92</v>
      </c>
      <c r="BG16" t="s">
        <v>88</v>
      </c>
      <c r="BH16" t="s">
        <v>97</v>
      </c>
      <c r="BI16" t="s">
        <v>95</v>
      </c>
      <c r="BJ16" t="s">
        <v>96</v>
      </c>
      <c r="BK16" t="s">
        <v>94</v>
      </c>
      <c r="BL16" t="s">
        <v>93</v>
      </c>
      <c r="BM16" t="s">
        <v>97</v>
      </c>
      <c r="BN16" t="s">
        <v>95</v>
      </c>
      <c r="BO16" t="s">
        <v>93</v>
      </c>
      <c r="BP16" t="s">
        <v>95</v>
      </c>
      <c r="BQ16" t="s">
        <v>93</v>
      </c>
      <c r="BR16" s="6" t="s">
        <v>265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14.5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11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5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4</v>
      </c>
      <c r="CA16">
        <f>IF(COUNTIF('Resultats Reals'!$I$2:$I$3,BO16)&gt;0,3,0)+IF(COUNTIF('Resultats Reals'!$I$2:$I$3,BP16)&gt;0,3,0)</f>
        <v>6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8</v>
      </c>
      <c r="CE16">
        <f>IF(BR16='Resultats Reals'!$L$2,5,0)</f>
        <v>0</v>
      </c>
      <c r="CF16" s="7">
        <f t="shared" si="0"/>
        <v>85.5</v>
      </c>
    </row>
    <row r="17" spans="1:84" x14ac:dyDescent="0.25">
      <c r="A17" t="s">
        <v>169</v>
      </c>
      <c r="B17" t="s">
        <v>135</v>
      </c>
      <c r="C17" t="s">
        <v>98</v>
      </c>
      <c r="D17" t="s">
        <v>87</v>
      </c>
      <c r="E17" t="s">
        <v>88</v>
      </c>
      <c r="F17" t="s">
        <v>112</v>
      </c>
      <c r="G17" t="s">
        <v>90</v>
      </c>
      <c r="H17" t="s">
        <v>91</v>
      </c>
      <c r="I17" t="s">
        <v>104</v>
      </c>
      <c r="J17" t="s">
        <v>93</v>
      </c>
      <c r="K17" t="s">
        <v>94</v>
      </c>
      <c r="L17" t="s">
        <v>95</v>
      </c>
      <c r="M17" t="s">
        <v>108</v>
      </c>
      <c r="N17" t="s">
        <v>109</v>
      </c>
      <c r="O17" t="s">
        <v>110</v>
      </c>
      <c r="P17" t="s">
        <v>239</v>
      </c>
      <c r="Q17" t="s">
        <v>100</v>
      </c>
      <c r="R17" t="s">
        <v>101</v>
      </c>
      <c r="S17" t="s">
        <v>102</v>
      </c>
      <c r="T17" t="s">
        <v>114</v>
      </c>
      <c r="U17" t="s">
        <v>92</v>
      </c>
      <c r="V17" t="s">
        <v>105</v>
      </c>
      <c r="W17" t="s">
        <v>117</v>
      </c>
      <c r="X17" t="s">
        <v>118</v>
      </c>
      <c r="Y17" t="s">
        <v>96</v>
      </c>
      <c r="Z17" t="s">
        <v>97</v>
      </c>
      <c r="AA17" t="s">
        <v>130</v>
      </c>
      <c r="AB17" t="s">
        <v>99</v>
      </c>
      <c r="AC17" t="s">
        <v>170</v>
      </c>
      <c r="AD17" t="s">
        <v>89</v>
      </c>
      <c r="AE17" t="s">
        <v>113</v>
      </c>
      <c r="AF17" t="s">
        <v>103</v>
      </c>
      <c r="AG17" t="s">
        <v>138</v>
      </c>
      <c r="AH17" t="s">
        <v>142</v>
      </c>
      <c r="AI17" t="s">
        <v>106</v>
      </c>
      <c r="AJ17" t="s">
        <v>107</v>
      </c>
      <c r="AK17" t="s">
        <v>127</v>
      </c>
      <c r="AL17" t="s">
        <v>120</v>
      </c>
      <c r="AM17" t="s">
        <v>98</v>
      </c>
      <c r="AN17" t="s">
        <v>105</v>
      </c>
      <c r="AO17" t="s">
        <v>88</v>
      </c>
      <c r="AP17" t="s">
        <v>112</v>
      </c>
      <c r="AQ17" t="s">
        <v>90</v>
      </c>
      <c r="AR17" t="s">
        <v>91</v>
      </c>
      <c r="AS17" t="s">
        <v>104</v>
      </c>
      <c r="AT17" t="s">
        <v>93</v>
      </c>
      <c r="AU17" t="s">
        <v>94</v>
      </c>
      <c r="AV17" t="s">
        <v>95</v>
      </c>
      <c r="AW17" t="s">
        <v>108</v>
      </c>
      <c r="AX17" t="s">
        <v>109</v>
      </c>
      <c r="AY17" t="s">
        <v>96</v>
      </c>
      <c r="AZ17" t="s">
        <v>97</v>
      </c>
      <c r="BA17" t="s">
        <v>117</v>
      </c>
      <c r="BB17" t="s">
        <v>100</v>
      </c>
      <c r="BC17" t="s">
        <v>93</v>
      </c>
      <c r="BD17" t="s">
        <v>94</v>
      </c>
      <c r="BE17" t="s">
        <v>88</v>
      </c>
      <c r="BF17" t="s">
        <v>90</v>
      </c>
      <c r="BG17" t="s">
        <v>95</v>
      </c>
      <c r="BH17" t="s">
        <v>117</v>
      </c>
      <c r="BI17" t="s">
        <v>109</v>
      </c>
      <c r="BJ17" t="s">
        <v>91</v>
      </c>
      <c r="BK17" t="s">
        <v>93</v>
      </c>
      <c r="BL17" t="s">
        <v>94</v>
      </c>
      <c r="BM17" t="s">
        <v>95</v>
      </c>
      <c r="BN17" t="s">
        <v>88</v>
      </c>
      <c r="BO17" t="s">
        <v>93</v>
      </c>
      <c r="BP17" t="s">
        <v>95</v>
      </c>
      <c r="BQ17" t="s">
        <v>93</v>
      </c>
      <c r="BS17" t="s">
        <v>121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13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14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6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8</v>
      </c>
      <c r="CE17">
        <f>IF(BR17='Resultats Reals'!$L$2,5,0)</f>
        <v>0</v>
      </c>
      <c r="CF17" s="7">
        <f t="shared" si="0"/>
        <v>78</v>
      </c>
    </row>
    <row r="18" spans="1:84" hidden="1" x14ac:dyDescent="0.25">
      <c r="A18" t="s">
        <v>183</v>
      </c>
      <c r="B18" t="s">
        <v>85</v>
      </c>
      <c r="C18" t="s">
        <v>86</v>
      </c>
      <c r="D18" t="s">
        <v>99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87</v>
      </c>
      <c r="Q18" t="s">
        <v>100</v>
      </c>
      <c r="R18" t="s">
        <v>101</v>
      </c>
      <c r="S18" t="s">
        <v>102</v>
      </c>
      <c r="T18" t="s">
        <v>114</v>
      </c>
      <c r="U18" t="s">
        <v>115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130</v>
      </c>
      <c r="AB18" t="s">
        <v>125</v>
      </c>
      <c r="AC18" t="s">
        <v>111</v>
      </c>
      <c r="AD18" t="s">
        <v>126</v>
      </c>
      <c r="AE18" t="s">
        <v>113</v>
      </c>
      <c r="AF18" t="s">
        <v>103</v>
      </c>
      <c r="AG18" t="s">
        <v>104</v>
      </c>
      <c r="AH18" t="s">
        <v>116</v>
      </c>
      <c r="AI18" t="s">
        <v>117</v>
      </c>
      <c r="AJ18" t="s">
        <v>118</v>
      </c>
      <c r="AK18" t="s">
        <v>119</v>
      </c>
      <c r="AL18" t="s">
        <v>120</v>
      </c>
      <c r="AM18" t="s">
        <v>86</v>
      </c>
      <c r="AN18" t="s">
        <v>98</v>
      </c>
      <c r="AO18" t="s">
        <v>99</v>
      </c>
      <c r="AP18" t="s">
        <v>87</v>
      </c>
      <c r="AQ18" t="s">
        <v>88</v>
      </c>
      <c r="AR18" t="s">
        <v>100</v>
      </c>
      <c r="AS18" t="s">
        <v>89</v>
      </c>
      <c r="AT18" t="s">
        <v>101</v>
      </c>
      <c r="AU18" t="s">
        <v>90</v>
      </c>
      <c r="AV18" t="s">
        <v>102</v>
      </c>
      <c r="AW18" t="s">
        <v>91</v>
      </c>
      <c r="AX18" t="s">
        <v>114</v>
      </c>
      <c r="AY18" t="s">
        <v>92</v>
      </c>
      <c r="AZ18" t="s">
        <v>93</v>
      </c>
      <c r="BA18" t="s">
        <v>94</v>
      </c>
      <c r="BB18" t="s">
        <v>95</v>
      </c>
      <c r="BC18" t="s">
        <v>88</v>
      </c>
      <c r="BD18" t="s">
        <v>93</v>
      </c>
      <c r="BE18" t="s">
        <v>94</v>
      </c>
      <c r="BF18" t="s">
        <v>95</v>
      </c>
      <c r="BG18" t="s">
        <v>97</v>
      </c>
      <c r="BH18" t="s">
        <v>96</v>
      </c>
      <c r="BI18" t="s">
        <v>90</v>
      </c>
      <c r="BJ18" t="s">
        <v>91</v>
      </c>
      <c r="BK18" t="s">
        <v>94</v>
      </c>
      <c r="BL18" t="s">
        <v>93</v>
      </c>
      <c r="BM18" t="s">
        <v>88</v>
      </c>
      <c r="BN18" t="s">
        <v>95</v>
      </c>
      <c r="BO18" t="s">
        <v>94</v>
      </c>
      <c r="BP18" t="s">
        <v>93</v>
      </c>
      <c r="BQ18" t="s">
        <v>93</v>
      </c>
      <c r="BR18" s="6" t="s">
        <v>268</v>
      </c>
      <c r="BS18" t="s">
        <v>121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22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3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8</v>
      </c>
      <c r="CE18">
        <f>IF(BR18='Resultats Reals'!$L$2,5,0)</f>
        <v>0</v>
      </c>
      <c r="CF18" s="7">
        <f t="shared" si="0"/>
        <v>73.5</v>
      </c>
    </row>
    <row r="19" spans="1:84" hidden="1" x14ac:dyDescent="0.25">
      <c r="A19" t="s">
        <v>193</v>
      </c>
      <c r="B19" t="s">
        <v>135</v>
      </c>
      <c r="C19" t="s">
        <v>98</v>
      </c>
      <c r="D19" t="s">
        <v>87</v>
      </c>
      <c r="E19" t="s">
        <v>88</v>
      </c>
      <c r="F19" t="s">
        <v>101</v>
      </c>
      <c r="G19" t="s">
        <v>90</v>
      </c>
      <c r="H19" t="s">
        <v>103</v>
      </c>
      <c r="I19" t="s">
        <v>104</v>
      </c>
      <c r="J19" t="s">
        <v>93</v>
      </c>
      <c r="K19" t="s">
        <v>117</v>
      </c>
      <c r="L19" t="s">
        <v>95</v>
      </c>
      <c r="M19" t="s">
        <v>108</v>
      </c>
      <c r="N19" t="s">
        <v>97</v>
      </c>
      <c r="O19" t="s">
        <v>86</v>
      </c>
      <c r="P19" t="s">
        <v>239</v>
      </c>
      <c r="Q19" t="s">
        <v>100</v>
      </c>
      <c r="R19" t="s">
        <v>112</v>
      </c>
      <c r="S19" t="s">
        <v>102</v>
      </c>
      <c r="T19" t="s">
        <v>91</v>
      </c>
      <c r="U19" t="s">
        <v>92</v>
      </c>
      <c r="V19" t="s">
        <v>105</v>
      </c>
      <c r="W19" t="s">
        <v>94</v>
      </c>
      <c r="X19" t="s">
        <v>107</v>
      </c>
      <c r="Y19" t="s">
        <v>96</v>
      </c>
      <c r="Z19" t="s">
        <v>109</v>
      </c>
      <c r="AA19" t="s">
        <v>110</v>
      </c>
      <c r="AB19" t="s">
        <v>99</v>
      </c>
      <c r="AC19" t="s">
        <v>111</v>
      </c>
      <c r="AD19" t="s">
        <v>194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118</v>
      </c>
      <c r="AK19" t="s">
        <v>127</v>
      </c>
      <c r="AL19" t="s">
        <v>120</v>
      </c>
      <c r="AM19" t="s">
        <v>90</v>
      </c>
      <c r="AN19" t="s">
        <v>117</v>
      </c>
      <c r="AO19" t="s">
        <v>239</v>
      </c>
      <c r="AP19" t="s">
        <v>100</v>
      </c>
      <c r="AQ19" t="s">
        <v>96</v>
      </c>
      <c r="AR19" t="s">
        <v>93</v>
      </c>
      <c r="AS19" t="s">
        <v>111</v>
      </c>
      <c r="AT19" t="s">
        <v>104</v>
      </c>
      <c r="AU19" t="s">
        <v>88</v>
      </c>
      <c r="AV19" t="s">
        <v>94</v>
      </c>
      <c r="AW19" t="s">
        <v>98</v>
      </c>
      <c r="AX19" t="s">
        <v>97</v>
      </c>
      <c r="AY19" t="s">
        <v>95</v>
      </c>
      <c r="AZ19" t="s">
        <v>92</v>
      </c>
      <c r="BA19" t="s">
        <v>114</v>
      </c>
      <c r="BB19" t="s">
        <v>108</v>
      </c>
      <c r="BC19" t="s">
        <v>117</v>
      </c>
      <c r="BD19" t="s">
        <v>100</v>
      </c>
      <c r="BE19" t="s">
        <v>93</v>
      </c>
      <c r="BF19" t="s">
        <v>104</v>
      </c>
      <c r="BG19" t="s">
        <v>94</v>
      </c>
      <c r="BH19" t="s">
        <v>97</v>
      </c>
      <c r="BI19" t="s">
        <v>95</v>
      </c>
      <c r="BJ19" t="s">
        <v>108</v>
      </c>
      <c r="BK19" t="s">
        <v>117</v>
      </c>
      <c r="BL19" t="s">
        <v>93</v>
      </c>
      <c r="BM19" t="s">
        <v>97</v>
      </c>
      <c r="BN19" t="s">
        <v>95</v>
      </c>
      <c r="BO19" t="s">
        <v>93</v>
      </c>
      <c r="BP19" t="s">
        <v>95</v>
      </c>
      <c r="BQ19" t="s">
        <v>93</v>
      </c>
      <c r="BR19" s="6" t="s">
        <v>302</v>
      </c>
      <c r="BS19" t="s">
        <v>150</v>
      </c>
      <c r="BT19" t="s">
        <v>195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6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3</v>
      </c>
      <c r="CA19">
        <f>IF(COUNTIF('Resultats Reals'!$I$2:$I$3,BO19)&gt;0,3,0)+IF(COUNTIF('Resultats Reals'!$I$2:$I$3,BP19)&gt;0,3,0)</f>
        <v>6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0</v>
      </c>
      <c r="CE19">
        <f>IF(BR19='Resultats Reals'!$L$2,5,0)</f>
        <v>0</v>
      </c>
      <c r="CF19" s="7">
        <f t="shared" si="0"/>
        <v>70</v>
      </c>
    </row>
    <row r="20" spans="1:84" x14ac:dyDescent="0.25">
      <c r="A20" t="s">
        <v>206</v>
      </c>
      <c r="B20" t="s">
        <v>135</v>
      </c>
      <c r="C20" t="s">
        <v>130</v>
      </c>
      <c r="D20" t="s">
        <v>239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112</v>
      </c>
      <c r="S20" t="s">
        <v>102</v>
      </c>
      <c r="T20" t="s">
        <v>131</v>
      </c>
      <c r="U20" t="s">
        <v>115</v>
      </c>
      <c r="V20" t="s">
        <v>105</v>
      </c>
      <c r="W20" t="s">
        <v>106</v>
      </c>
      <c r="X20" t="s">
        <v>118</v>
      </c>
      <c r="Y20" t="s">
        <v>108</v>
      </c>
      <c r="Z20" t="s">
        <v>109</v>
      </c>
      <c r="AA20" t="s">
        <v>110</v>
      </c>
      <c r="AB20" t="s">
        <v>87</v>
      </c>
      <c r="AC20" t="s">
        <v>111</v>
      </c>
      <c r="AD20" t="s">
        <v>101</v>
      </c>
      <c r="AE20" t="s">
        <v>113</v>
      </c>
      <c r="AF20" t="s">
        <v>103</v>
      </c>
      <c r="AG20" t="s">
        <v>104</v>
      </c>
      <c r="AH20" t="s">
        <v>116</v>
      </c>
      <c r="AI20" t="s">
        <v>117</v>
      </c>
      <c r="AJ20" t="s">
        <v>107</v>
      </c>
      <c r="AK20" t="s">
        <v>119</v>
      </c>
      <c r="AL20" t="s">
        <v>120</v>
      </c>
      <c r="AM20" t="s">
        <v>90</v>
      </c>
      <c r="AN20" t="s">
        <v>94</v>
      </c>
      <c r="AO20" t="s">
        <v>86</v>
      </c>
      <c r="AP20" t="s">
        <v>91</v>
      </c>
      <c r="AQ20" t="s">
        <v>109</v>
      </c>
      <c r="AR20" t="s">
        <v>93</v>
      </c>
      <c r="AS20" t="s">
        <v>89</v>
      </c>
      <c r="AT20" t="s">
        <v>92</v>
      </c>
      <c r="AU20" t="s">
        <v>88</v>
      </c>
      <c r="AV20" t="s">
        <v>106</v>
      </c>
      <c r="AW20" t="s">
        <v>130</v>
      </c>
      <c r="AX20" t="s">
        <v>97</v>
      </c>
      <c r="AY20" t="s">
        <v>105</v>
      </c>
      <c r="AZ20" t="s">
        <v>112</v>
      </c>
      <c r="BA20" t="s">
        <v>111</v>
      </c>
      <c r="BB20" t="s">
        <v>96</v>
      </c>
      <c r="BC20" t="s">
        <v>90</v>
      </c>
      <c r="BD20" t="s">
        <v>91</v>
      </c>
      <c r="BE20" t="s">
        <v>93</v>
      </c>
      <c r="BF20" t="s">
        <v>92</v>
      </c>
      <c r="BG20" t="s">
        <v>88</v>
      </c>
      <c r="BH20" t="s">
        <v>97</v>
      </c>
      <c r="BI20" t="s">
        <v>105</v>
      </c>
      <c r="BJ20" t="s">
        <v>96</v>
      </c>
      <c r="BK20" t="s">
        <v>91</v>
      </c>
      <c r="BL20" t="s">
        <v>93</v>
      </c>
      <c r="BM20" t="s">
        <v>97</v>
      </c>
      <c r="BN20" t="s">
        <v>96</v>
      </c>
      <c r="BO20" t="s">
        <v>93</v>
      </c>
      <c r="BP20" t="s">
        <v>97</v>
      </c>
      <c r="BQ20" t="s">
        <v>93</v>
      </c>
      <c r="BR20" s="6" t="s">
        <v>265</v>
      </c>
      <c r="BS20" t="s">
        <v>157</v>
      </c>
      <c r="BT20" t="s">
        <v>121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21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9.5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9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3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2</v>
      </c>
      <c r="CA20">
        <f>IF(COUNTIF('Resultats Reals'!$I$2:$I$3,BO20)&gt;0,3,0)+IF(COUNTIF('Resultats Reals'!$I$2:$I$3,BP20)&gt;0,3,0)</f>
        <v>3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1</v>
      </c>
      <c r="CE20">
        <f>IF(BR20='Resultats Reals'!$L$2,5,0)</f>
        <v>0</v>
      </c>
      <c r="CF20" s="7">
        <f t="shared" si="0"/>
        <v>60.5</v>
      </c>
    </row>
    <row r="21" spans="1:84" x14ac:dyDescent="0.25">
      <c r="A21" t="s">
        <v>188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117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102</v>
      </c>
      <c r="T21" t="s">
        <v>103</v>
      </c>
      <c r="U21" t="s">
        <v>104</v>
      </c>
      <c r="V21" t="s">
        <v>105</v>
      </c>
      <c r="W21" t="s">
        <v>94</v>
      </c>
      <c r="X21" t="s">
        <v>107</v>
      </c>
      <c r="Y21" t="s">
        <v>108</v>
      </c>
      <c r="Z21" t="s">
        <v>109</v>
      </c>
      <c r="AA21" t="s">
        <v>110</v>
      </c>
      <c r="AB21" t="s">
        <v>239</v>
      </c>
      <c r="AC21" t="s">
        <v>111</v>
      </c>
      <c r="AD21" t="s">
        <v>126</v>
      </c>
      <c r="AE21" t="s">
        <v>113</v>
      </c>
      <c r="AF21" t="s">
        <v>114</v>
      </c>
      <c r="AG21" t="s">
        <v>138</v>
      </c>
      <c r="AH21" t="s">
        <v>116</v>
      </c>
      <c r="AI21" t="s">
        <v>106</v>
      </c>
      <c r="AJ21" t="s">
        <v>118</v>
      </c>
      <c r="AK21" t="s">
        <v>127</v>
      </c>
      <c r="AL21" t="s">
        <v>120</v>
      </c>
      <c r="AM21" t="s">
        <v>90</v>
      </c>
      <c r="AN21" t="s">
        <v>117</v>
      </c>
      <c r="AO21" t="s">
        <v>98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94</v>
      </c>
      <c r="AW21" t="s">
        <v>86</v>
      </c>
      <c r="AX21" t="s">
        <v>97</v>
      </c>
      <c r="AY21" t="s">
        <v>95</v>
      </c>
      <c r="AZ21" t="s">
        <v>89</v>
      </c>
      <c r="BA21" t="s">
        <v>87</v>
      </c>
      <c r="BB21" t="s">
        <v>96</v>
      </c>
      <c r="BC21" t="s">
        <v>90</v>
      </c>
      <c r="BD21" t="s">
        <v>91</v>
      </c>
      <c r="BE21" t="s">
        <v>93</v>
      </c>
      <c r="BF21" t="s">
        <v>101</v>
      </c>
      <c r="BG21" t="s">
        <v>88</v>
      </c>
      <c r="BH21" t="s">
        <v>97</v>
      </c>
      <c r="BI21" t="s">
        <v>95</v>
      </c>
      <c r="BJ21" t="s">
        <v>96</v>
      </c>
      <c r="BK21" t="s">
        <v>91</v>
      </c>
      <c r="BL21" t="s">
        <v>93</v>
      </c>
      <c r="BM21" t="s">
        <v>88</v>
      </c>
      <c r="BN21" t="s">
        <v>96</v>
      </c>
      <c r="BO21" t="s">
        <v>93</v>
      </c>
      <c r="BP21" t="s">
        <v>96</v>
      </c>
      <c r="BQ21" t="s">
        <v>96</v>
      </c>
      <c r="BS21" t="s">
        <v>189</v>
      </c>
      <c r="BT21" t="s">
        <v>190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20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3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1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0</v>
      </c>
      <c r="CE21">
        <f>IF(BR21='Resultats Reals'!$L$2,5,0)</f>
        <v>0</v>
      </c>
      <c r="CF21" s="7">
        <f t="shared" si="0"/>
        <v>67.5</v>
      </c>
    </row>
    <row r="22" spans="1:84" x14ac:dyDescent="0.25">
      <c r="A22" t="s">
        <v>152</v>
      </c>
      <c r="B22" t="s">
        <v>147</v>
      </c>
      <c r="C22" t="s">
        <v>98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109</v>
      </c>
      <c r="O22" t="s">
        <v>110</v>
      </c>
      <c r="P22" t="s">
        <v>239</v>
      </c>
      <c r="Q22" t="s">
        <v>100</v>
      </c>
      <c r="R22" t="s">
        <v>112</v>
      </c>
      <c r="S22" t="s">
        <v>102</v>
      </c>
      <c r="T22" t="s">
        <v>103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97</v>
      </c>
      <c r="AA22" t="s">
        <v>86</v>
      </c>
      <c r="AB22" t="s">
        <v>99</v>
      </c>
      <c r="AC22" t="s">
        <v>111</v>
      </c>
      <c r="AD22" t="s">
        <v>89</v>
      </c>
      <c r="AE22" t="s">
        <v>113</v>
      </c>
      <c r="AF22" t="s">
        <v>114</v>
      </c>
      <c r="AG22" t="s">
        <v>115</v>
      </c>
      <c r="AH22" t="s">
        <v>116</v>
      </c>
      <c r="AI22" t="s">
        <v>106</v>
      </c>
      <c r="AJ22" t="s">
        <v>118</v>
      </c>
      <c r="AK22" t="s">
        <v>127</v>
      </c>
      <c r="AL22" t="s">
        <v>120</v>
      </c>
      <c r="AM22" t="s">
        <v>102</v>
      </c>
      <c r="AN22" t="s">
        <v>93</v>
      </c>
      <c r="AO22" t="s">
        <v>114</v>
      </c>
      <c r="AP22" t="s">
        <v>88</v>
      </c>
      <c r="AQ22" t="s">
        <v>100</v>
      </c>
      <c r="AR22" t="s">
        <v>98</v>
      </c>
      <c r="AS22" t="s">
        <v>90</v>
      </c>
      <c r="AT22" t="s">
        <v>91</v>
      </c>
      <c r="AU22" t="s">
        <v>92</v>
      </c>
      <c r="AV22" t="s">
        <v>105</v>
      </c>
      <c r="AW22" t="s">
        <v>94</v>
      </c>
      <c r="AX22" t="s">
        <v>95</v>
      </c>
      <c r="AY22" t="s">
        <v>96</v>
      </c>
      <c r="AZ22" t="s">
        <v>108</v>
      </c>
      <c r="BA22" t="s">
        <v>97</v>
      </c>
      <c r="BB22" t="s">
        <v>109</v>
      </c>
      <c r="BC22" t="s">
        <v>94</v>
      </c>
      <c r="BD22" t="s">
        <v>88</v>
      </c>
      <c r="BE22" t="s">
        <v>93</v>
      </c>
      <c r="BF22" t="s">
        <v>92</v>
      </c>
      <c r="BG22" t="s">
        <v>95</v>
      </c>
      <c r="BH22" t="s">
        <v>114</v>
      </c>
      <c r="BI22" t="s">
        <v>91</v>
      </c>
      <c r="BJ22" t="s">
        <v>102</v>
      </c>
      <c r="BK22" t="s">
        <v>94</v>
      </c>
      <c r="BL22" t="s">
        <v>88</v>
      </c>
      <c r="BM22" t="s">
        <v>93</v>
      </c>
      <c r="BN22" t="s">
        <v>95</v>
      </c>
      <c r="BO22" t="s">
        <v>88</v>
      </c>
      <c r="BP22" t="s">
        <v>94</v>
      </c>
      <c r="BQ22" t="s">
        <v>94</v>
      </c>
      <c r="BS22" t="s">
        <v>145</v>
      </c>
      <c r="BT22" t="s">
        <v>128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18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14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9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8</v>
      </c>
      <c r="CE22">
        <f>IF(BR22='Resultats Reals'!$L$2,5,0)</f>
        <v>0</v>
      </c>
      <c r="CF22" s="7">
        <f t="shared" si="0"/>
        <v>70</v>
      </c>
    </row>
    <row r="23" spans="1:84" hidden="1" x14ac:dyDescent="0.25">
      <c r="A23" t="s">
        <v>196</v>
      </c>
      <c r="B23" t="s">
        <v>135</v>
      </c>
      <c r="C23" t="s">
        <v>86</v>
      </c>
      <c r="D23" t="s">
        <v>87</v>
      </c>
      <c r="E23" t="s">
        <v>100</v>
      </c>
      <c r="F23" t="s">
        <v>112</v>
      </c>
      <c r="G23" t="s">
        <v>90</v>
      </c>
      <c r="H23" t="s">
        <v>114</v>
      </c>
      <c r="I23" t="s">
        <v>92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98</v>
      </c>
      <c r="P23" t="s">
        <v>99</v>
      </c>
      <c r="Q23" t="s">
        <v>88</v>
      </c>
      <c r="R23" t="s">
        <v>101</v>
      </c>
      <c r="S23" t="s">
        <v>102</v>
      </c>
      <c r="T23" t="s">
        <v>103</v>
      </c>
      <c r="U23" t="s">
        <v>104</v>
      </c>
      <c r="V23" t="s">
        <v>105</v>
      </c>
      <c r="W23" t="s">
        <v>106</v>
      </c>
      <c r="X23" t="s">
        <v>107</v>
      </c>
      <c r="Y23" t="s">
        <v>96</v>
      </c>
      <c r="Z23" t="s">
        <v>97</v>
      </c>
      <c r="AA23" t="s">
        <v>110</v>
      </c>
      <c r="AB23" t="s">
        <v>239</v>
      </c>
      <c r="AC23" t="s">
        <v>111</v>
      </c>
      <c r="AD23" t="s">
        <v>89</v>
      </c>
      <c r="AE23" t="s">
        <v>113</v>
      </c>
      <c r="AF23" t="s">
        <v>91</v>
      </c>
      <c r="AG23" t="s">
        <v>115</v>
      </c>
      <c r="AH23" t="s">
        <v>116</v>
      </c>
      <c r="AI23" t="s">
        <v>117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99</v>
      </c>
      <c r="AP23" t="s">
        <v>88</v>
      </c>
      <c r="AQ23" t="s">
        <v>96</v>
      </c>
      <c r="AR23" t="s">
        <v>93</v>
      </c>
      <c r="AS23" t="s">
        <v>91</v>
      </c>
      <c r="AT23" t="s">
        <v>92</v>
      </c>
      <c r="AU23" t="s">
        <v>100</v>
      </c>
      <c r="AV23" t="s">
        <v>102</v>
      </c>
      <c r="AW23" t="s">
        <v>86</v>
      </c>
      <c r="AX23" t="s">
        <v>109</v>
      </c>
      <c r="AY23" t="s">
        <v>95</v>
      </c>
      <c r="AZ23" t="s">
        <v>101</v>
      </c>
      <c r="BA23" t="s">
        <v>87</v>
      </c>
      <c r="BB23" t="s">
        <v>108</v>
      </c>
      <c r="BC23" t="s">
        <v>94</v>
      </c>
      <c r="BD23" t="s">
        <v>88</v>
      </c>
      <c r="BE23" t="s">
        <v>93</v>
      </c>
      <c r="BF23" t="s">
        <v>92</v>
      </c>
      <c r="BG23" t="s">
        <v>100</v>
      </c>
      <c r="BH23" t="s">
        <v>86</v>
      </c>
      <c r="BI23" t="s">
        <v>95</v>
      </c>
      <c r="BJ23" t="s">
        <v>108</v>
      </c>
      <c r="BK23" t="s">
        <v>94</v>
      </c>
      <c r="BL23" t="s">
        <v>93</v>
      </c>
      <c r="BM23" t="s">
        <v>100</v>
      </c>
      <c r="BN23" t="s">
        <v>95</v>
      </c>
      <c r="BO23" t="s">
        <v>93</v>
      </c>
      <c r="BP23" t="s">
        <v>100</v>
      </c>
      <c r="BQ23" t="s">
        <v>93</v>
      </c>
      <c r="BR23" s="6" t="s">
        <v>265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8</v>
      </c>
      <c r="CE23">
        <f>IF(BR23='Resultats Reals'!$L$2,5,0)</f>
        <v>0</v>
      </c>
      <c r="CF23" s="7">
        <f t="shared" si="0"/>
        <v>76</v>
      </c>
    </row>
    <row r="24" spans="1:84" x14ac:dyDescent="0.25">
      <c r="A24" t="s">
        <v>176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102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110</v>
      </c>
      <c r="P24" t="s">
        <v>239</v>
      </c>
      <c r="Q24" t="s">
        <v>100</v>
      </c>
      <c r="R24" t="s">
        <v>112</v>
      </c>
      <c r="S24" t="s">
        <v>90</v>
      </c>
      <c r="T24" t="s">
        <v>114</v>
      </c>
      <c r="U24" t="s">
        <v>104</v>
      </c>
      <c r="V24" t="s">
        <v>105</v>
      </c>
      <c r="W24" t="s">
        <v>117</v>
      </c>
      <c r="X24" t="s">
        <v>107</v>
      </c>
      <c r="Y24" t="s">
        <v>108</v>
      </c>
      <c r="Z24" t="s">
        <v>109</v>
      </c>
      <c r="AA24" t="s">
        <v>98</v>
      </c>
      <c r="AB24" t="s">
        <v>99</v>
      </c>
      <c r="AC24" t="s">
        <v>111</v>
      </c>
      <c r="AD24" t="s">
        <v>89</v>
      </c>
      <c r="AE24" t="s">
        <v>113</v>
      </c>
      <c r="AF24" t="s">
        <v>103</v>
      </c>
      <c r="AG24" t="s">
        <v>115</v>
      </c>
      <c r="AH24" t="s">
        <v>116</v>
      </c>
      <c r="AI24" t="s">
        <v>106</v>
      </c>
      <c r="AJ24" t="s">
        <v>118</v>
      </c>
      <c r="AK24" t="s">
        <v>127</v>
      </c>
      <c r="AL24" t="s">
        <v>120</v>
      </c>
      <c r="AM24" t="s">
        <v>102</v>
      </c>
      <c r="AN24" t="s">
        <v>94</v>
      </c>
      <c r="AO24" t="s">
        <v>239</v>
      </c>
      <c r="AP24" t="s">
        <v>91</v>
      </c>
      <c r="AQ24" t="s">
        <v>108</v>
      </c>
      <c r="AR24" t="s">
        <v>93</v>
      </c>
      <c r="AS24" t="s">
        <v>101</v>
      </c>
      <c r="AT24" t="s">
        <v>106</v>
      </c>
      <c r="AU24" t="s">
        <v>88</v>
      </c>
      <c r="AV24" t="s">
        <v>117</v>
      </c>
      <c r="AW24" t="s">
        <v>86</v>
      </c>
      <c r="AX24" t="s">
        <v>97</v>
      </c>
      <c r="AY24" t="s">
        <v>95</v>
      </c>
      <c r="AZ24" t="s">
        <v>112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106</v>
      </c>
      <c r="BG24" t="s">
        <v>117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97</v>
      </c>
      <c r="BN24" t="s">
        <v>96</v>
      </c>
      <c r="BO24" t="s">
        <v>93</v>
      </c>
      <c r="BP24" t="s">
        <v>96</v>
      </c>
      <c r="BQ24" t="s">
        <v>93</v>
      </c>
      <c r="BR24" s="6" t="s">
        <v>209</v>
      </c>
      <c r="BS24" t="s">
        <v>121</v>
      </c>
      <c r="BT24" t="s">
        <v>122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 t="shared" si="0"/>
        <v>76.5</v>
      </c>
    </row>
    <row r="25" spans="1:84" hidden="1" x14ac:dyDescent="0.25">
      <c r="A25" t="s">
        <v>155</v>
      </c>
      <c r="B25" t="s">
        <v>135</v>
      </c>
      <c r="C25" t="s">
        <v>86</v>
      </c>
      <c r="D25" t="s">
        <v>87</v>
      </c>
      <c r="E25" t="s">
        <v>88</v>
      </c>
      <c r="F25" t="s">
        <v>89</v>
      </c>
      <c r="G25" t="s">
        <v>90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125</v>
      </c>
      <c r="Q25" t="s">
        <v>100</v>
      </c>
      <c r="R25" t="s">
        <v>101</v>
      </c>
      <c r="S25" t="s">
        <v>102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99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119</v>
      </c>
      <c r="AL25" t="s">
        <v>120</v>
      </c>
      <c r="AM25" t="s">
        <v>86</v>
      </c>
      <c r="AN25" t="s">
        <v>100</v>
      </c>
      <c r="AO25" t="s">
        <v>88</v>
      </c>
      <c r="AP25" t="s">
        <v>89</v>
      </c>
      <c r="AQ25" t="s">
        <v>90</v>
      </c>
      <c r="AR25" t="s">
        <v>91</v>
      </c>
      <c r="AS25" t="s">
        <v>92</v>
      </c>
      <c r="AT25" t="s">
        <v>93</v>
      </c>
      <c r="AU25" t="s">
        <v>94</v>
      </c>
      <c r="AV25" t="s">
        <v>95</v>
      </c>
      <c r="AW25" t="s">
        <v>96</v>
      </c>
      <c r="AX25" t="s">
        <v>97</v>
      </c>
      <c r="AY25" t="s">
        <v>114</v>
      </c>
      <c r="AZ25" t="s">
        <v>105</v>
      </c>
      <c r="BA25" t="s">
        <v>108</v>
      </c>
      <c r="BB25" t="s">
        <v>109</v>
      </c>
      <c r="BC25" t="s">
        <v>88</v>
      </c>
      <c r="BD25" t="s">
        <v>90</v>
      </c>
      <c r="BE25" t="s">
        <v>91</v>
      </c>
      <c r="BF25" t="s">
        <v>93</v>
      </c>
      <c r="BG25" t="s">
        <v>94</v>
      </c>
      <c r="BH25" t="s">
        <v>95</v>
      </c>
      <c r="BI25" t="s">
        <v>96</v>
      </c>
      <c r="BJ25" t="s">
        <v>97</v>
      </c>
      <c r="BK25" t="s">
        <v>88</v>
      </c>
      <c r="BL25" t="s">
        <v>93</v>
      </c>
      <c r="BM25" t="s">
        <v>95</v>
      </c>
      <c r="BN25" t="s">
        <v>97</v>
      </c>
      <c r="BO25" t="s">
        <v>93</v>
      </c>
      <c r="BP25" t="s">
        <v>95</v>
      </c>
      <c r="BQ25" t="s">
        <v>93</v>
      </c>
      <c r="BR25" s="6" t="s">
        <v>164</v>
      </c>
      <c r="BS25" t="s">
        <v>121</v>
      </c>
      <c r="BT25" t="s">
        <v>121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11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4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3</v>
      </c>
      <c r="CA25">
        <f>IF(COUNTIF('Resultats Reals'!$I$2:$I$3,BO25)&gt;0,3,0)+IF(COUNTIF('Resultats Reals'!$I$2:$I$3,BP25)&gt;0,3,0)</f>
        <v>6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1</v>
      </c>
      <c r="CE25">
        <f>IF(BR25='Resultats Reals'!$L$2,5,0)</f>
        <v>0</v>
      </c>
      <c r="CF25" s="7">
        <f t="shared" si="0"/>
        <v>72</v>
      </c>
    </row>
    <row r="26" spans="1:84" hidden="1" x14ac:dyDescent="0.25">
      <c r="A26" t="s">
        <v>202</v>
      </c>
      <c r="B26" t="s">
        <v>163</v>
      </c>
      <c r="C26" t="s">
        <v>86</v>
      </c>
      <c r="D26" t="s">
        <v>87</v>
      </c>
      <c r="E26" t="s">
        <v>88</v>
      </c>
      <c r="F26" t="s">
        <v>101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108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113</v>
      </c>
      <c r="T26" t="s">
        <v>103</v>
      </c>
      <c r="U26" t="s">
        <v>104</v>
      </c>
      <c r="V26" t="s">
        <v>105</v>
      </c>
      <c r="W26" t="s">
        <v>106</v>
      </c>
      <c r="X26" t="s">
        <v>107</v>
      </c>
      <c r="Y26" t="s">
        <v>96</v>
      </c>
      <c r="Z26" t="s">
        <v>109</v>
      </c>
      <c r="AA26" t="s">
        <v>110</v>
      </c>
      <c r="AB26" t="s">
        <v>125</v>
      </c>
      <c r="AC26" t="s">
        <v>111</v>
      </c>
      <c r="AD26" t="s">
        <v>112</v>
      </c>
      <c r="AE26" t="s">
        <v>102</v>
      </c>
      <c r="AF26" t="s">
        <v>114</v>
      </c>
      <c r="AG26" t="s">
        <v>115</v>
      </c>
      <c r="AH26" t="s">
        <v>142</v>
      </c>
      <c r="AI26" t="s">
        <v>117</v>
      </c>
      <c r="AJ26" t="s">
        <v>143</v>
      </c>
      <c r="AK26" t="s">
        <v>127</v>
      </c>
      <c r="AL26" t="s">
        <v>144</v>
      </c>
      <c r="AM26" t="s">
        <v>94</v>
      </c>
      <c r="AN26" t="s">
        <v>93</v>
      </c>
      <c r="AO26" t="s">
        <v>97</v>
      </c>
      <c r="AP26" t="s">
        <v>96</v>
      </c>
      <c r="AQ26" t="s">
        <v>90</v>
      </c>
      <c r="AR26" t="s">
        <v>88</v>
      </c>
      <c r="AS26" t="s">
        <v>95</v>
      </c>
      <c r="AT26" t="s">
        <v>92</v>
      </c>
      <c r="AU26" t="s">
        <v>108</v>
      </c>
      <c r="AV26" t="s">
        <v>91</v>
      </c>
      <c r="AW26" t="s">
        <v>87</v>
      </c>
      <c r="AX26" t="s">
        <v>100</v>
      </c>
      <c r="AY26" t="s">
        <v>108</v>
      </c>
      <c r="AZ26" t="s">
        <v>99</v>
      </c>
      <c r="BA26" t="s">
        <v>117</v>
      </c>
      <c r="BB26" t="s">
        <v>101</v>
      </c>
      <c r="BC26" t="s">
        <v>93</v>
      </c>
      <c r="BD26" t="s">
        <v>94</v>
      </c>
      <c r="BE26" t="s">
        <v>95</v>
      </c>
      <c r="BF26" t="s">
        <v>97</v>
      </c>
      <c r="BG26" t="s">
        <v>88</v>
      </c>
      <c r="BH26" t="s">
        <v>96</v>
      </c>
      <c r="BI26" t="s">
        <v>100</v>
      </c>
      <c r="BJ26" t="s">
        <v>91</v>
      </c>
      <c r="BK26" t="s">
        <v>95</v>
      </c>
      <c r="BL26" t="s">
        <v>91</v>
      </c>
      <c r="BM26" t="s">
        <v>93</v>
      </c>
      <c r="BN26" t="s">
        <v>88</v>
      </c>
      <c r="BO26" t="s">
        <v>95</v>
      </c>
      <c r="BP26" t="s">
        <v>91</v>
      </c>
      <c r="BQ26" t="s">
        <v>95</v>
      </c>
      <c r="BR26" s="6" t="s">
        <v>268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17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5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2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8</v>
      </c>
      <c r="CE26">
        <f>IF(BR26='Resultats Reals'!$L$2,5,0)</f>
        <v>0</v>
      </c>
      <c r="CF26" s="7">
        <f t="shared" si="0"/>
        <v>80</v>
      </c>
    </row>
    <row r="27" spans="1:84" x14ac:dyDescent="0.25">
      <c r="A27" t="s">
        <v>129</v>
      </c>
      <c r="B27" t="s">
        <v>85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130</v>
      </c>
      <c r="AB27" t="s">
        <v>125</v>
      </c>
      <c r="AC27" t="s">
        <v>111</v>
      </c>
      <c r="AD27" t="s">
        <v>126</v>
      </c>
      <c r="AE27" t="s">
        <v>113</v>
      </c>
      <c r="AF27" t="s">
        <v>131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99</v>
      </c>
      <c r="AN27" t="s">
        <v>88</v>
      </c>
      <c r="AO27" t="s">
        <v>90</v>
      </c>
      <c r="AP27" t="s">
        <v>91</v>
      </c>
      <c r="AQ27" t="s">
        <v>102</v>
      </c>
      <c r="AR27" t="s">
        <v>94</v>
      </c>
      <c r="AS27" t="s">
        <v>86</v>
      </c>
      <c r="AT27" t="s">
        <v>97</v>
      </c>
      <c r="AU27" t="s">
        <v>92</v>
      </c>
      <c r="AV27" t="s">
        <v>89</v>
      </c>
      <c r="AW27" t="s">
        <v>93</v>
      </c>
      <c r="AX27" t="s">
        <v>109</v>
      </c>
      <c r="AY27" t="s">
        <v>87</v>
      </c>
      <c r="AZ27" t="s">
        <v>101</v>
      </c>
      <c r="BA27" t="s">
        <v>95</v>
      </c>
      <c r="BB27" t="s">
        <v>96</v>
      </c>
      <c r="BC27" t="s">
        <v>88</v>
      </c>
      <c r="BD27" t="s">
        <v>91</v>
      </c>
      <c r="BE27" t="s">
        <v>94</v>
      </c>
      <c r="BF27" t="s">
        <v>97</v>
      </c>
      <c r="BG27" t="s">
        <v>89</v>
      </c>
      <c r="BH27" t="s">
        <v>93</v>
      </c>
      <c r="BI27" t="s">
        <v>101</v>
      </c>
      <c r="BJ27" t="s">
        <v>96</v>
      </c>
      <c r="BK27" t="s">
        <v>91</v>
      </c>
      <c r="BL27" t="s">
        <v>97</v>
      </c>
      <c r="BM27" t="s">
        <v>93</v>
      </c>
      <c r="BN27" t="s">
        <v>96</v>
      </c>
      <c r="BO27" t="s">
        <v>93</v>
      </c>
      <c r="BP27" t="s">
        <v>97</v>
      </c>
      <c r="BQ27" t="s">
        <v>93</v>
      </c>
      <c r="BS27" t="s">
        <v>132</v>
      </c>
      <c r="BT27" t="s">
        <v>133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9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3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2</v>
      </c>
      <c r="CA27">
        <f>IF(COUNTIF('Resultats Reals'!$I$2:$I$3,BO27)&gt;0,3,0)+IF(COUNTIF('Resultats Reals'!$I$2:$I$3,BP27)&gt;0,3,0)</f>
        <v>3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66</v>
      </c>
    </row>
    <row r="28" spans="1:84" hidden="1" x14ac:dyDescent="0.25">
      <c r="A28" t="s">
        <v>134</v>
      </c>
      <c r="B28" t="s">
        <v>135</v>
      </c>
      <c r="C28" t="s">
        <v>86</v>
      </c>
      <c r="D28" t="s">
        <v>99</v>
      </c>
      <c r="E28" t="s">
        <v>88</v>
      </c>
      <c r="F28" t="s">
        <v>89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98</v>
      </c>
      <c r="P28" t="s">
        <v>87</v>
      </c>
      <c r="Q28" t="s">
        <v>100</v>
      </c>
      <c r="R28" t="s">
        <v>101</v>
      </c>
      <c r="S28" t="s">
        <v>113</v>
      </c>
      <c r="T28" t="s">
        <v>114</v>
      </c>
      <c r="U28" t="s">
        <v>104</v>
      </c>
      <c r="V28" t="s">
        <v>105</v>
      </c>
      <c r="W28" t="s">
        <v>117</v>
      </c>
      <c r="X28" t="s">
        <v>107</v>
      </c>
      <c r="Y28" t="s">
        <v>108</v>
      </c>
      <c r="Z28" t="s">
        <v>109</v>
      </c>
      <c r="AA28" t="s">
        <v>110</v>
      </c>
      <c r="AB28" t="s">
        <v>125</v>
      </c>
      <c r="AC28" t="s">
        <v>111</v>
      </c>
      <c r="AD28" t="s">
        <v>126</v>
      </c>
      <c r="AE28" t="s">
        <v>102</v>
      </c>
      <c r="AF28" t="s">
        <v>103</v>
      </c>
      <c r="AG28" t="s">
        <v>115</v>
      </c>
      <c r="AH28" t="s">
        <v>116</v>
      </c>
      <c r="AI28" t="s">
        <v>106</v>
      </c>
      <c r="AJ28" t="s">
        <v>118</v>
      </c>
      <c r="AK28" t="s">
        <v>119</v>
      </c>
      <c r="AL28" t="s">
        <v>120</v>
      </c>
      <c r="AM28" t="s">
        <v>94</v>
      </c>
      <c r="AN28" t="s">
        <v>95</v>
      </c>
      <c r="AO28" t="s">
        <v>88</v>
      </c>
      <c r="AP28" t="s">
        <v>97</v>
      </c>
      <c r="AQ28" t="s">
        <v>93</v>
      </c>
      <c r="AR28" t="s">
        <v>90</v>
      </c>
      <c r="AS28" t="s">
        <v>96</v>
      </c>
      <c r="AT28" t="s">
        <v>91</v>
      </c>
      <c r="AU28" t="s">
        <v>89</v>
      </c>
      <c r="AV28" t="s">
        <v>86</v>
      </c>
      <c r="AW28" t="s">
        <v>105</v>
      </c>
      <c r="AX28" t="s">
        <v>100</v>
      </c>
      <c r="AY28" t="s">
        <v>109</v>
      </c>
      <c r="AZ28" t="s">
        <v>114</v>
      </c>
      <c r="BA28" t="s">
        <v>108</v>
      </c>
      <c r="BB28" t="s">
        <v>87</v>
      </c>
      <c r="BC28" t="s">
        <v>94</v>
      </c>
      <c r="BD28" t="s">
        <v>95</v>
      </c>
      <c r="BE28" t="s">
        <v>88</v>
      </c>
      <c r="BF28" t="s">
        <v>97</v>
      </c>
      <c r="BG28" t="s">
        <v>93</v>
      </c>
      <c r="BH28" t="s">
        <v>90</v>
      </c>
      <c r="BI28" t="s">
        <v>96</v>
      </c>
      <c r="BJ28" t="s">
        <v>91</v>
      </c>
      <c r="BK28" t="s">
        <v>94</v>
      </c>
      <c r="BL28" t="s">
        <v>95</v>
      </c>
      <c r="BM28" t="s">
        <v>93</v>
      </c>
      <c r="BN28" t="s">
        <v>88</v>
      </c>
      <c r="BO28" t="s">
        <v>94</v>
      </c>
      <c r="BP28" t="s">
        <v>93</v>
      </c>
      <c r="BQ28" t="s">
        <v>93</v>
      </c>
      <c r="BR28" s="6" t="s">
        <v>272</v>
      </c>
      <c r="BS28" t="s">
        <v>121</v>
      </c>
      <c r="BT28" t="s">
        <v>128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16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8</v>
      </c>
      <c r="CE28">
        <f>IF(BR28='Resultats Reals'!$L$2,5,0)</f>
        <v>0</v>
      </c>
      <c r="CF28" s="7">
        <f t="shared" si="0"/>
        <v>79</v>
      </c>
    </row>
    <row r="29" spans="1:84" x14ac:dyDescent="0.25">
      <c r="A29" t="s">
        <v>187</v>
      </c>
      <c r="B29" t="s">
        <v>85</v>
      </c>
      <c r="C29" t="s">
        <v>86</v>
      </c>
      <c r="D29" t="s">
        <v>87</v>
      </c>
      <c r="E29" t="s">
        <v>100</v>
      </c>
      <c r="F29" t="s">
        <v>101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98</v>
      </c>
      <c r="P29" t="s">
        <v>99</v>
      </c>
      <c r="Q29" t="s">
        <v>88</v>
      </c>
      <c r="R29" t="s">
        <v>89</v>
      </c>
      <c r="S29" t="s">
        <v>113</v>
      </c>
      <c r="T29" t="s">
        <v>114</v>
      </c>
      <c r="U29" t="s">
        <v>104</v>
      </c>
      <c r="V29" t="s">
        <v>105</v>
      </c>
      <c r="W29" t="s">
        <v>106</v>
      </c>
      <c r="X29" t="s">
        <v>118</v>
      </c>
      <c r="Y29" t="s">
        <v>108</v>
      </c>
      <c r="Z29" t="s">
        <v>109</v>
      </c>
      <c r="AA29" t="s">
        <v>110</v>
      </c>
      <c r="AB29" t="s">
        <v>239</v>
      </c>
      <c r="AC29" t="s">
        <v>111</v>
      </c>
      <c r="AD29" t="s">
        <v>112</v>
      </c>
      <c r="AE29" t="s">
        <v>102</v>
      </c>
      <c r="AF29" t="s">
        <v>103</v>
      </c>
      <c r="AG29" t="s">
        <v>115</v>
      </c>
      <c r="AH29" t="s">
        <v>116</v>
      </c>
      <c r="AI29" t="s">
        <v>117</v>
      </c>
      <c r="AJ29" t="s">
        <v>107</v>
      </c>
      <c r="AK29" t="s">
        <v>127</v>
      </c>
      <c r="AL29" t="s">
        <v>120</v>
      </c>
      <c r="AM29" t="s">
        <v>99</v>
      </c>
      <c r="AN29" t="s">
        <v>100</v>
      </c>
      <c r="AO29" t="s">
        <v>90</v>
      </c>
      <c r="AP29" t="s">
        <v>88</v>
      </c>
      <c r="AQ29" t="s">
        <v>113</v>
      </c>
      <c r="AR29" t="s">
        <v>94</v>
      </c>
      <c r="AS29" t="s">
        <v>117</v>
      </c>
      <c r="AT29" t="s">
        <v>97</v>
      </c>
      <c r="AU29" t="s">
        <v>92</v>
      </c>
      <c r="AV29" t="s">
        <v>101</v>
      </c>
      <c r="AW29" t="s">
        <v>93</v>
      </c>
      <c r="AX29" t="s">
        <v>108</v>
      </c>
      <c r="AY29" t="s">
        <v>87</v>
      </c>
      <c r="AZ29" t="s">
        <v>89</v>
      </c>
      <c r="BA29" t="s">
        <v>95</v>
      </c>
      <c r="BB29" t="s">
        <v>96</v>
      </c>
      <c r="BC29" t="s">
        <v>90</v>
      </c>
      <c r="BD29" t="s">
        <v>100</v>
      </c>
      <c r="BE29" t="s">
        <v>94</v>
      </c>
      <c r="BF29" t="s">
        <v>97</v>
      </c>
      <c r="BG29" t="s">
        <v>93</v>
      </c>
      <c r="BH29" t="s">
        <v>92</v>
      </c>
      <c r="BI29" t="s">
        <v>96</v>
      </c>
      <c r="BJ29" t="s">
        <v>95</v>
      </c>
      <c r="BK29" t="s">
        <v>90</v>
      </c>
      <c r="BL29" t="s">
        <v>93</v>
      </c>
      <c r="BM29" t="s">
        <v>94</v>
      </c>
      <c r="BN29" t="s">
        <v>96</v>
      </c>
      <c r="BO29" t="s">
        <v>93</v>
      </c>
      <c r="BP29" t="s">
        <v>94</v>
      </c>
      <c r="BQ29" t="s">
        <v>93</v>
      </c>
      <c r="BS29" t="s">
        <v>121</v>
      </c>
      <c r="BT29" t="s">
        <v>154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15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6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2</v>
      </c>
      <c r="CA29">
        <f>IF(COUNTIF('Resultats Reals'!$I$2:$I$3,BO29)&gt;0,3,0)+IF(COUNTIF('Resultats Reals'!$I$2:$I$3,BP29)&gt;0,3,0)</f>
        <v>3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80</v>
      </c>
    </row>
    <row r="30" spans="1:84" x14ac:dyDescent="0.25">
      <c r="A30" t="s">
        <v>203</v>
      </c>
      <c r="B30" t="s">
        <v>85</v>
      </c>
      <c r="C30" t="s">
        <v>110</v>
      </c>
      <c r="D30" t="s">
        <v>87</v>
      </c>
      <c r="E30" t="s">
        <v>88</v>
      </c>
      <c r="F30" t="s">
        <v>89</v>
      </c>
      <c r="G30" t="s">
        <v>90</v>
      </c>
      <c r="H30" t="s">
        <v>114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86</v>
      </c>
      <c r="P30" t="s">
        <v>99</v>
      </c>
      <c r="Q30" t="s">
        <v>100</v>
      </c>
      <c r="R30" t="s">
        <v>101</v>
      </c>
      <c r="S30" t="s">
        <v>102</v>
      </c>
      <c r="T30" t="s">
        <v>91</v>
      </c>
      <c r="U30" t="s">
        <v>104</v>
      </c>
      <c r="V30" t="s">
        <v>105</v>
      </c>
      <c r="W30" t="s">
        <v>117</v>
      </c>
      <c r="X30" t="s">
        <v>107</v>
      </c>
      <c r="Y30" t="s">
        <v>108</v>
      </c>
      <c r="Z30" t="s">
        <v>109</v>
      </c>
      <c r="AA30" t="s">
        <v>98</v>
      </c>
      <c r="AB30" t="s">
        <v>239</v>
      </c>
      <c r="AC30" t="s">
        <v>111</v>
      </c>
      <c r="AD30" t="s">
        <v>112</v>
      </c>
      <c r="AE30" t="s">
        <v>113</v>
      </c>
      <c r="AF30" t="s">
        <v>103</v>
      </c>
      <c r="AG30" t="s">
        <v>115</v>
      </c>
      <c r="AH30" t="s">
        <v>142</v>
      </c>
      <c r="AI30" t="s">
        <v>106</v>
      </c>
      <c r="AJ30" t="s">
        <v>118</v>
      </c>
      <c r="AK30" t="s">
        <v>127</v>
      </c>
      <c r="AL30" t="s">
        <v>120</v>
      </c>
      <c r="AM30" t="s">
        <v>90</v>
      </c>
      <c r="AN30" t="s">
        <v>94</v>
      </c>
      <c r="AO30" t="s">
        <v>86</v>
      </c>
      <c r="AP30" t="s">
        <v>100</v>
      </c>
      <c r="AQ30" t="s">
        <v>109</v>
      </c>
      <c r="AR30" t="s">
        <v>93</v>
      </c>
      <c r="AS30" t="s">
        <v>103</v>
      </c>
      <c r="AT30" t="s">
        <v>92</v>
      </c>
      <c r="AU30" t="s">
        <v>88</v>
      </c>
      <c r="AV30" t="s">
        <v>117</v>
      </c>
      <c r="AW30" t="s">
        <v>110</v>
      </c>
      <c r="AX30" t="s">
        <v>97</v>
      </c>
      <c r="AY30" t="s">
        <v>95</v>
      </c>
      <c r="AZ30" t="s">
        <v>101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97</v>
      </c>
      <c r="BN30" t="s">
        <v>95</v>
      </c>
      <c r="BO30" t="s">
        <v>94</v>
      </c>
      <c r="BP30" t="s">
        <v>97</v>
      </c>
      <c r="BQ30" t="s">
        <v>97</v>
      </c>
      <c r="BS30" t="s">
        <v>128</v>
      </c>
      <c r="BT30" t="s">
        <v>154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20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11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4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80.5</v>
      </c>
    </row>
    <row r="31" spans="1:84" x14ac:dyDescent="0.25">
      <c r="A31" t="s">
        <v>171</v>
      </c>
      <c r="B31" t="s">
        <v>172</v>
      </c>
      <c r="C31" t="s">
        <v>98</v>
      </c>
      <c r="D31" t="s">
        <v>87</v>
      </c>
      <c r="E31" t="s">
        <v>88</v>
      </c>
      <c r="F31" t="s">
        <v>112</v>
      </c>
      <c r="G31" t="s">
        <v>90</v>
      </c>
      <c r="H31" t="s">
        <v>91</v>
      </c>
      <c r="I31" t="s">
        <v>104</v>
      </c>
      <c r="J31" t="s">
        <v>93</v>
      </c>
      <c r="K31" t="s">
        <v>94</v>
      </c>
      <c r="L31" t="s">
        <v>95</v>
      </c>
      <c r="M31" t="s">
        <v>108</v>
      </c>
      <c r="N31" t="s">
        <v>109</v>
      </c>
      <c r="O31" t="s">
        <v>110</v>
      </c>
      <c r="P31" t="s">
        <v>239</v>
      </c>
      <c r="Q31" t="s">
        <v>100</v>
      </c>
      <c r="R31" t="s">
        <v>101</v>
      </c>
      <c r="S31" t="s">
        <v>102</v>
      </c>
      <c r="T31" t="s">
        <v>114</v>
      </c>
      <c r="U31" t="s">
        <v>92</v>
      </c>
      <c r="V31" t="s">
        <v>105</v>
      </c>
      <c r="W31" t="s">
        <v>117</v>
      </c>
      <c r="X31" t="s">
        <v>118</v>
      </c>
      <c r="Y31" t="s">
        <v>96</v>
      </c>
      <c r="Z31" t="s">
        <v>97</v>
      </c>
      <c r="AA31" t="s">
        <v>130</v>
      </c>
      <c r="AB31" t="s">
        <v>99</v>
      </c>
      <c r="AC31" t="s">
        <v>170</v>
      </c>
      <c r="AD31" t="s">
        <v>89</v>
      </c>
      <c r="AE31" t="s">
        <v>113</v>
      </c>
      <c r="AF31" t="s">
        <v>103</v>
      </c>
      <c r="AG31" t="s">
        <v>138</v>
      </c>
      <c r="AH31" t="s">
        <v>142</v>
      </c>
      <c r="AI31" t="s">
        <v>106</v>
      </c>
      <c r="AJ31" t="s">
        <v>107</v>
      </c>
      <c r="AK31" t="s">
        <v>127</v>
      </c>
      <c r="AL31" t="s">
        <v>120</v>
      </c>
      <c r="AM31" t="s">
        <v>98</v>
      </c>
      <c r="AN31" t="s">
        <v>105</v>
      </c>
      <c r="AO31" t="s">
        <v>88</v>
      </c>
      <c r="AP31" t="s">
        <v>112</v>
      </c>
      <c r="AQ31" t="s">
        <v>102</v>
      </c>
      <c r="AR31" t="s">
        <v>91</v>
      </c>
      <c r="AS31" t="s">
        <v>104</v>
      </c>
      <c r="AT31" t="s">
        <v>93</v>
      </c>
      <c r="AU31" t="s">
        <v>94</v>
      </c>
      <c r="AV31" t="s">
        <v>95</v>
      </c>
      <c r="AW31" t="s">
        <v>108</v>
      </c>
      <c r="AX31" t="s">
        <v>109</v>
      </c>
      <c r="AY31" t="s">
        <v>96</v>
      </c>
      <c r="AZ31" t="s">
        <v>97</v>
      </c>
      <c r="BA31" t="s">
        <v>117</v>
      </c>
      <c r="BB31" t="s">
        <v>100</v>
      </c>
      <c r="BC31" t="s">
        <v>93</v>
      </c>
      <c r="BD31" t="s">
        <v>94</v>
      </c>
      <c r="BE31" t="s">
        <v>88</v>
      </c>
      <c r="BF31" t="s">
        <v>102</v>
      </c>
      <c r="BG31" t="s">
        <v>95</v>
      </c>
      <c r="BH31" t="s">
        <v>117</v>
      </c>
      <c r="BI31" t="s">
        <v>109</v>
      </c>
      <c r="BJ31" t="s">
        <v>91</v>
      </c>
      <c r="BK31" t="s">
        <v>93</v>
      </c>
      <c r="BL31" t="s">
        <v>94</v>
      </c>
      <c r="BM31" t="s">
        <v>95</v>
      </c>
      <c r="BN31" t="s">
        <v>102</v>
      </c>
      <c r="BO31" t="s">
        <v>93</v>
      </c>
      <c r="BP31" t="s">
        <v>102</v>
      </c>
      <c r="BQ31" t="s">
        <v>102</v>
      </c>
      <c r="BS31" t="s">
        <v>161</v>
      </c>
      <c r="BT31" t="s">
        <v>154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6</v>
      </c>
      <c r="CE31">
        <f>IF(BR31='Resultats Reals'!$L$2,5,0)</f>
        <v>0</v>
      </c>
      <c r="CF31" s="7">
        <f t="shared" si="0"/>
        <v>73</v>
      </c>
    </row>
    <row r="32" spans="1:84" hidden="1" x14ac:dyDescent="0.25">
      <c r="A32" t="s">
        <v>185</v>
      </c>
      <c r="B32" t="s">
        <v>147</v>
      </c>
      <c r="C32" t="s">
        <v>86</v>
      </c>
      <c r="D32" t="s">
        <v>87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99</v>
      </c>
      <c r="Q32" t="s">
        <v>100</v>
      </c>
      <c r="R32" t="s">
        <v>101</v>
      </c>
      <c r="S32" t="s">
        <v>102</v>
      </c>
      <c r="T32" t="s">
        <v>114</v>
      </c>
      <c r="U32" t="s">
        <v>104</v>
      </c>
      <c r="V32" t="s">
        <v>105</v>
      </c>
      <c r="W32" t="s">
        <v>117</v>
      </c>
      <c r="X32" t="s">
        <v>107</v>
      </c>
      <c r="Y32" t="s">
        <v>108</v>
      </c>
      <c r="Z32" t="s">
        <v>144</v>
      </c>
      <c r="AA32" t="s">
        <v>130</v>
      </c>
      <c r="AB32" t="s">
        <v>125</v>
      </c>
      <c r="AC32" t="s">
        <v>111</v>
      </c>
      <c r="AD32" t="s">
        <v>112</v>
      </c>
      <c r="AE32" t="s">
        <v>113</v>
      </c>
      <c r="AF32" t="s">
        <v>103</v>
      </c>
      <c r="AG32" t="s">
        <v>138</v>
      </c>
      <c r="AH32" t="s">
        <v>116</v>
      </c>
      <c r="AI32" t="s">
        <v>106</v>
      </c>
      <c r="AJ32" t="s">
        <v>118</v>
      </c>
      <c r="AK32" t="s">
        <v>127</v>
      </c>
      <c r="AL32" t="s">
        <v>109</v>
      </c>
      <c r="AM32" t="s">
        <v>86</v>
      </c>
      <c r="AN32" t="s">
        <v>88</v>
      </c>
      <c r="AO32" t="s">
        <v>101</v>
      </c>
      <c r="AP32" t="s">
        <v>90</v>
      </c>
      <c r="AQ32" t="s">
        <v>91</v>
      </c>
      <c r="AR32" t="s">
        <v>93</v>
      </c>
      <c r="AS32" t="s">
        <v>105</v>
      </c>
      <c r="AT32" t="s">
        <v>94</v>
      </c>
      <c r="AU32" t="s">
        <v>117</v>
      </c>
      <c r="AV32" t="s">
        <v>95</v>
      </c>
      <c r="AW32" t="s">
        <v>96</v>
      </c>
      <c r="AX32" t="s">
        <v>108</v>
      </c>
      <c r="AY32" t="s">
        <v>97</v>
      </c>
      <c r="AZ32" t="s">
        <v>100</v>
      </c>
      <c r="BA32" t="s">
        <v>109</v>
      </c>
      <c r="BB32" t="s">
        <v>89</v>
      </c>
      <c r="BC32" t="s">
        <v>88</v>
      </c>
      <c r="BD32" t="s">
        <v>90</v>
      </c>
      <c r="BE32" t="s">
        <v>93</v>
      </c>
      <c r="BF32" t="s">
        <v>95</v>
      </c>
      <c r="BG32" t="s">
        <v>94</v>
      </c>
      <c r="BH32" t="s">
        <v>96</v>
      </c>
      <c r="BI32" t="s">
        <v>97</v>
      </c>
      <c r="BJ32" t="s">
        <v>105</v>
      </c>
      <c r="BK32" t="s">
        <v>95</v>
      </c>
      <c r="BL32" t="s">
        <v>96</v>
      </c>
      <c r="BM32" t="s">
        <v>93</v>
      </c>
      <c r="BN32" t="s">
        <v>97</v>
      </c>
      <c r="BO32" t="s">
        <v>93</v>
      </c>
      <c r="BP32" t="s">
        <v>95</v>
      </c>
      <c r="BQ32" t="s">
        <v>95</v>
      </c>
      <c r="BR32" s="6" t="s">
        <v>288</v>
      </c>
      <c r="BS32" t="s">
        <v>154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23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11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6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8</v>
      </c>
      <c r="CE32">
        <f>IF(BR32='Resultats Reals'!$L$2,5,0)</f>
        <v>0</v>
      </c>
      <c r="CF32" s="7">
        <f t="shared" si="0"/>
        <v>82.5</v>
      </c>
    </row>
    <row r="33" spans="1:84" hidden="1" x14ac:dyDescent="0.25">
      <c r="A33" t="s">
        <v>200</v>
      </c>
      <c r="B33" t="s">
        <v>135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100</v>
      </c>
      <c r="R33" t="s">
        <v>89</v>
      </c>
      <c r="S33" t="s">
        <v>201</v>
      </c>
      <c r="T33" t="s">
        <v>114</v>
      </c>
      <c r="U33" t="s">
        <v>104</v>
      </c>
      <c r="V33" t="s">
        <v>105</v>
      </c>
      <c r="W33" t="s">
        <v>106</v>
      </c>
      <c r="X33" t="s">
        <v>107</v>
      </c>
      <c r="Y33" t="s">
        <v>108</v>
      </c>
      <c r="Z33" t="s">
        <v>109</v>
      </c>
      <c r="AA33" t="s">
        <v>110</v>
      </c>
      <c r="AB33" t="s">
        <v>239</v>
      </c>
      <c r="AC33" t="s">
        <v>111</v>
      </c>
      <c r="AD33" t="s">
        <v>126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118</v>
      </c>
      <c r="AK33" t="s">
        <v>127</v>
      </c>
      <c r="AL33" t="s">
        <v>120</v>
      </c>
      <c r="AM33" t="s">
        <v>90</v>
      </c>
      <c r="AN33" t="s">
        <v>94</v>
      </c>
      <c r="AO33" t="s">
        <v>98</v>
      </c>
      <c r="AP33" t="s">
        <v>100</v>
      </c>
      <c r="AQ33" t="s">
        <v>109</v>
      </c>
      <c r="AR33" t="s">
        <v>93</v>
      </c>
      <c r="AS33" t="s">
        <v>101</v>
      </c>
      <c r="AT33" t="s">
        <v>92</v>
      </c>
      <c r="AU33" t="s">
        <v>88</v>
      </c>
      <c r="AV33" t="s">
        <v>106</v>
      </c>
      <c r="AW33" t="s">
        <v>86</v>
      </c>
      <c r="AX33" t="s">
        <v>97</v>
      </c>
      <c r="AY33" t="s">
        <v>95</v>
      </c>
      <c r="AZ33" t="s">
        <v>89</v>
      </c>
      <c r="BA33" t="s">
        <v>87</v>
      </c>
      <c r="BB33" t="s">
        <v>96</v>
      </c>
      <c r="BC33" t="s">
        <v>94</v>
      </c>
      <c r="BD33" t="s">
        <v>100</v>
      </c>
      <c r="BE33" t="s">
        <v>93</v>
      </c>
      <c r="BF33" t="s">
        <v>92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95</v>
      </c>
      <c r="BN33" t="s">
        <v>97</v>
      </c>
      <c r="BO33" t="s">
        <v>93</v>
      </c>
      <c r="BP33" t="s">
        <v>97</v>
      </c>
      <c r="BQ33" t="s">
        <v>93</v>
      </c>
      <c r="BR33" s="6" t="s">
        <v>209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21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4</v>
      </c>
      <c r="CA33">
        <f>IF(COUNTIF('Resultats Reals'!$I$2:$I$3,BO33)&gt;0,3,0)+IF(COUNTIF('Resultats Reals'!$I$2:$I$3,BP33)&gt;0,3,0)</f>
        <v>3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81</v>
      </c>
    </row>
    <row r="34" spans="1:84" hidden="1" x14ac:dyDescent="0.25">
      <c r="A34" t="s">
        <v>159</v>
      </c>
      <c r="B34" t="s">
        <v>140</v>
      </c>
      <c r="C34" t="s">
        <v>86</v>
      </c>
      <c r="D34" t="s">
        <v>99</v>
      </c>
      <c r="E34" t="s">
        <v>88</v>
      </c>
      <c r="F34" t="s">
        <v>112</v>
      </c>
      <c r="G34" t="s">
        <v>90</v>
      </c>
      <c r="H34" t="s">
        <v>91</v>
      </c>
      <c r="I34" t="s">
        <v>138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130</v>
      </c>
      <c r="P34" t="s">
        <v>87</v>
      </c>
      <c r="Q34" t="s">
        <v>111</v>
      </c>
      <c r="R34" t="s">
        <v>101</v>
      </c>
      <c r="S34" t="s">
        <v>102</v>
      </c>
      <c r="T34" t="s">
        <v>103</v>
      </c>
      <c r="U34" t="s">
        <v>92</v>
      </c>
      <c r="V34" t="s">
        <v>105</v>
      </c>
      <c r="W34" t="s">
        <v>117</v>
      </c>
      <c r="X34" t="s">
        <v>118</v>
      </c>
      <c r="Y34" t="s">
        <v>108</v>
      </c>
      <c r="Z34" t="s">
        <v>144</v>
      </c>
      <c r="AA34" t="s">
        <v>110</v>
      </c>
      <c r="AB34" t="s">
        <v>125</v>
      </c>
      <c r="AC34" t="s">
        <v>100</v>
      </c>
      <c r="AD34" t="s">
        <v>126</v>
      </c>
      <c r="AE34" t="s">
        <v>113</v>
      </c>
      <c r="AF34" t="s">
        <v>114</v>
      </c>
      <c r="AG34" t="s">
        <v>104</v>
      </c>
      <c r="AH34" t="s">
        <v>116</v>
      </c>
      <c r="AI34" t="s">
        <v>106</v>
      </c>
      <c r="AJ34" t="s">
        <v>107</v>
      </c>
      <c r="AK34" t="s">
        <v>127</v>
      </c>
      <c r="AL34" t="s">
        <v>120</v>
      </c>
      <c r="AM34" t="s">
        <v>88</v>
      </c>
      <c r="AN34" t="s">
        <v>93</v>
      </c>
      <c r="AO34" t="s">
        <v>94</v>
      </c>
      <c r="AP34" t="s">
        <v>95</v>
      </c>
      <c r="AQ34" t="s">
        <v>90</v>
      </c>
      <c r="AR34" t="s">
        <v>91</v>
      </c>
      <c r="AS34" t="s">
        <v>97</v>
      </c>
      <c r="AT34" t="s">
        <v>117</v>
      </c>
      <c r="AU34" t="s">
        <v>105</v>
      </c>
      <c r="AV34" t="s">
        <v>120</v>
      </c>
      <c r="AW34" t="s">
        <v>86</v>
      </c>
      <c r="AX34" t="s">
        <v>108</v>
      </c>
      <c r="AY34" t="s">
        <v>106</v>
      </c>
      <c r="AZ34" t="s">
        <v>102</v>
      </c>
      <c r="BA34" t="s">
        <v>96</v>
      </c>
      <c r="BB34" t="s">
        <v>144</v>
      </c>
      <c r="BC34" t="s">
        <v>88</v>
      </c>
      <c r="BD34" t="s">
        <v>93</v>
      </c>
      <c r="BE34" t="s">
        <v>94</v>
      </c>
      <c r="BF34" t="s">
        <v>95</v>
      </c>
      <c r="BG34" t="s">
        <v>90</v>
      </c>
      <c r="BH34" t="s">
        <v>91</v>
      </c>
      <c r="BI34" t="s">
        <v>97</v>
      </c>
      <c r="BJ34" t="s">
        <v>117</v>
      </c>
      <c r="BK34" t="s">
        <v>88</v>
      </c>
      <c r="BL34" t="s">
        <v>93</v>
      </c>
      <c r="BM34" t="s">
        <v>94</v>
      </c>
      <c r="BN34" t="s">
        <v>117</v>
      </c>
      <c r="BO34" t="s">
        <v>88</v>
      </c>
      <c r="BP34" t="s">
        <v>93</v>
      </c>
      <c r="BQ34" t="s">
        <v>88</v>
      </c>
      <c r="BR34" s="6" t="s">
        <v>268</v>
      </c>
      <c r="BS34" t="s">
        <v>160</v>
      </c>
      <c r="BT34" t="s">
        <v>161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10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12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9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2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67</v>
      </c>
    </row>
    <row r="35" spans="1:84" x14ac:dyDescent="0.25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239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R35" s="6" t="s">
        <v>265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8</v>
      </c>
      <c r="CE35">
        <f>IF(BR35='Resultats Reals'!$L$2,5,0)</f>
        <v>0</v>
      </c>
      <c r="CF35" s="7">
        <f t="shared" si="0"/>
        <v>76.5</v>
      </c>
    </row>
    <row r="36" spans="1:84" x14ac:dyDescent="0.25">
      <c r="A36" t="s">
        <v>177</v>
      </c>
      <c r="B36" t="s">
        <v>124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103</v>
      </c>
      <c r="I36" t="s">
        <v>104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110</v>
      </c>
      <c r="P36" t="s">
        <v>99</v>
      </c>
      <c r="Q36" t="s">
        <v>88</v>
      </c>
      <c r="R36" t="s">
        <v>89</v>
      </c>
      <c r="S36" t="s">
        <v>102</v>
      </c>
      <c r="T36" t="s">
        <v>91</v>
      </c>
      <c r="U36" t="s">
        <v>92</v>
      </c>
      <c r="V36" t="s">
        <v>105</v>
      </c>
      <c r="W36" t="s">
        <v>117</v>
      </c>
      <c r="X36" t="s">
        <v>107</v>
      </c>
      <c r="Y36" t="s">
        <v>108</v>
      </c>
      <c r="Z36" t="s">
        <v>109</v>
      </c>
      <c r="AA36" t="s">
        <v>98</v>
      </c>
      <c r="AB36" t="s">
        <v>125</v>
      </c>
      <c r="AC36" t="s">
        <v>111</v>
      </c>
      <c r="AD36" t="s">
        <v>112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93</v>
      </c>
      <c r="AN36" t="s">
        <v>94</v>
      </c>
      <c r="AO36" t="s">
        <v>97</v>
      </c>
      <c r="AP36" t="s">
        <v>88</v>
      </c>
      <c r="AQ36" t="s">
        <v>96</v>
      </c>
      <c r="AR36" t="s">
        <v>95</v>
      </c>
      <c r="AS36" t="s">
        <v>90</v>
      </c>
      <c r="AT36" t="s">
        <v>91</v>
      </c>
      <c r="AU36" t="s">
        <v>101</v>
      </c>
      <c r="AV36" t="s">
        <v>108</v>
      </c>
      <c r="AW36" t="s">
        <v>105</v>
      </c>
      <c r="AX36" t="s">
        <v>100</v>
      </c>
      <c r="AY36" t="s">
        <v>89</v>
      </c>
      <c r="AZ36" t="s">
        <v>103</v>
      </c>
      <c r="BA36" t="s">
        <v>86</v>
      </c>
      <c r="BB36" t="s">
        <v>109</v>
      </c>
      <c r="BC36" t="s">
        <v>93</v>
      </c>
      <c r="BD36" t="s">
        <v>94</v>
      </c>
      <c r="BE36" t="s">
        <v>97</v>
      </c>
      <c r="BF36" t="s">
        <v>88</v>
      </c>
      <c r="BG36" t="s">
        <v>96</v>
      </c>
      <c r="BH36" t="s">
        <v>95</v>
      </c>
      <c r="BI36" t="s">
        <v>108</v>
      </c>
      <c r="BJ36" t="s">
        <v>100</v>
      </c>
      <c r="BK36" t="s">
        <v>93</v>
      </c>
      <c r="BL36" t="s">
        <v>94</v>
      </c>
      <c r="BM36" t="s">
        <v>95</v>
      </c>
      <c r="BN36" t="s">
        <v>100</v>
      </c>
      <c r="BO36" t="s">
        <v>95</v>
      </c>
      <c r="BP36" t="s">
        <v>94</v>
      </c>
      <c r="BQ36" t="s">
        <v>94</v>
      </c>
      <c r="BS36" t="s">
        <v>178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13.5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5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3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8</v>
      </c>
      <c r="CE36">
        <f>IF(BR36='Resultats Reals'!$L$2,5,0)</f>
        <v>0</v>
      </c>
      <c r="CF36" s="7">
        <f t="shared" si="0"/>
        <v>74.5</v>
      </c>
    </row>
    <row r="37" spans="1:84" hidden="1" x14ac:dyDescent="0.25">
      <c r="A37" t="s">
        <v>173</v>
      </c>
      <c r="B37" t="s">
        <v>85</v>
      </c>
      <c r="C37" t="s">
        <v>86</v>
      </c>
      <c r="D37" t="s">
        <v>87</v>
      </c>
      <c r="E37" t="s">
        <v>88</v>
      </c>
      <c r="F37" t="s">
        <v>89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101</v>
      </c>
      <c r="S37" t="s">
        <v>102</v>
      </c>
      <c r="T37" t="s">
        <v>114</v>
      </c>
      <c r="U37" t="s">
        <v>115</v>
      </c>
      <c r="V37" t="s">
        <v>105</v>
      </c>
      <c r="W37" t="s">
        <v>117</v>
      </c>
      <c r="X37" t="s">
        <v>107</v>
      </c>
      <c r="Y37" t="s">
        <v>108</v>
      </c>
      <c r="Z37" t="s">
        <v>109</v>
      </c>
      <c r="AA37" t="s">
        <v>110</v>
      </c>
      <c r="AB37" t="s">
        <v>239</v>
      </c>
      <c r="AC37" t="s">
        <v>111</v>
      </c>
      <c r="AD37" t="s">
        <v>112</v>
      </c>
      <c r="AE37" t="s">
        <v>113</v>
      </c>
      <c r="AF37" t="s">
        <v>103</v>
      </c>
      <c r="AG37" t="s">
        <v>104</v>
      </c>
      <c r="AH37" t="s">
        <v>142</v>
      </c>
      <c r="AI37" t="s">
        <v>106</v>
      </c>
      <c r="AJ37" t="s">
        <v>118</v>
      </c>
      <c r="AK37" t="s">
        <v>119</v>
      </c>
      <c r="AL37" t="s">
        <v>120</v>
      </c>
      <c r="AM37" t="s">
        <v>90</v>
      </c>
      <c r="AN37" t="s">
        <v>94</v>
      </c>
      <c r="AO37" t="s">
        <v>98</v>
      </c>
      <c r="AP37" t="s">
        <v>91</v>
      </c>
      <c r="AQ37" t="s">
        <v>108</v>
      </c>
      <c r="AR37" t="s">
        <v>93</v>
      </c>
      <c r="AS37" t="s">
        <v>89</v>
      </c>
      <c r="AT37" t="s">
        <v>92</v>
      </c>
      <c r="AU37" t="s">
        <v>88</v>
      </c>
      <c r="AV37" t="s">
        <v>102</v>
      </c>
      <c r="AW37" t="s">
        <v>86</v>
      </c>
      <c r="AX37" t="s">
        <v>97</v>
      </c>
      <c r="AY37" t="s">
        <v>95</v>
      </c>
      <c r="AZ37" t="s">
        <v>101</v>
      </c>
      <c r="BA37" t="s">
        <v>87</v>
      </c>
      <c r="BB37" t="s">
        <v>96</v>
      </c>
      <c r="BC37" t="s">
        <v>94</v>
      </c>
      <c r="BD37" t="s">
        <v>91</v>
      </c>
      <c r="BE37" t="s">
        <v>93</v>
      </c>
      <c r="BF37" t="s">
        <v>92</v>
      </c>
      <c r="BG37" t="s">
        <v>88</v>
      </c>
      <c r="BH37" t="s">
        <v>97</v>
      </c>
      <c r="BI37" t="s">
        <v>95</v>
      </c>
      <c r="BJ37" t="s">
        <v>96</v>
      </c>
      <c r="BK37" t="s">
        <v>94</v>
      </c>
      <c r="BL37" t="s">
        <v>93</v>
      </c>
      <c r="BM37" t="s">
        <v>88</v>
      </c>
      <c r="BN37" t="s">
        <v>95</v>
      </c>
      <c r="BO37" t="s">
        <v>94</v>
      </c>
      <c r="BP37" t="s">
        <v>95</v>
      </c>
      <c r="BQ37" t="s">
        <v>95</v>
      </c>
      <c r="BR37" s="6" t="s">
        <v>265</v>
      </c>
      <c r="BS37" t="s">
        <v>157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23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15.5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11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8</v>
      </c>
      <c r="CE37">
        <f>IF(BR37='Resultats Reals'!$L$2,5,0)</f>
        <v>0</v>
      </c>
      <c r="CF37" s="7">
        <f t="shared" si="0"/>
        <v>82.5</v>
      </c>
    </row>
    <row r="38" spans="1:84" hidden="1" x14ac:dyDescent="0.25">
      <c r="A38" t="s">
        <v>174</v>
      </c>
      <c r="B38" t="s">
        <v>172</v>
      </c>
      <c r="C38" t="s">
        <v>98</v>
      </c>
      <c r="D38" t="s">
        <v>87</v>
      </c>
      <c r="E38" t="s">
        <v>88</v>
      </c>
      <c r="F38" t="s">
        <v>112</v>
      </c>
      <c r="G38" t="s">
        <v>90</v>
      </c>
      <c r="H38" t="s">
        <v>91</v>
      </c>
      <c r="I38" t="s">
        <v>104</v>
      </c>
      <c r="J38" t="s">
        <v>93</v>
      </c>
      <c r="K38" t="s">
        <v>94</v>
      </c>
      <c r="L38" t="s">
        <v>95</v>
      </c>
      <c r="M38" t="s">
        <v>108</v>
      </c>
      <c r="N38" t="s">
        <v>109</v>
      </c>
      <c r="O38" t="s">
        <v>110</v>
      </c>
      <c r="P38" t="s">
        <v>239</v>
      </c>
      <c r="Q38" t="s">
        <v>100</v>
      </c>
      <c r="R38" t="s">
        <v>101</v>
      </c>
      <c r="S38" t="s">
        <v>102</v>
      </c>
      <c r="T38" t="s">
        <v>114</v>
      </c>
      <c r="U38" t="s">
        <v>92</v>
      </c>
      <c r="V38" t="s">
        <v>105</v>
      </c>
      <c r="W38" t="s">
        <v>117</v>
      </c>
      <c r="X38" t="s">
        <v>118</v>
      </c>
      <c r="Y38" t="s">
        <v>96</v>
      </c>
      <c r="Z38" t="s">
        <v>97</v>
      </c>
      <c r="AA38" t="s">
        <v>130</v>
      </c>
      <c r="AB38" t="s">
        <v>99</v>
      </c>
      <c r="AC38" t="s">
        <v>170</v>
      </c>
      <c r="AD38" t="s">
        <v>89</v>
      </c>
      <c r="AE38" t="s">
        <v>113</v>
      </c>
      <c r="AF38" t="s">
        <v>103</v>
      </c>
      <c r="AG38" t="s">
        <v>138</v>
      </c>
      <c r="AH38" t="s">
        <v>142</v>
      </c>
      <c r="AI38" t="s">
        <v>106</v>
      </c>
      <c r="AJ38" t="s">
        <v>107</v>
      </c>
      <c r="AK38" t="s">
        <v>127</v>
      </c>
      <c r="AL38" t="s">
        <v>120</v>
      </c>
      <c r="AM38" t="s">
        <v>98</v>
      </c>
      <c r="AN38" t="s">
        <v>105</v>
      </c>
      <c r="AO38" t="s">
        <v>88</v>
      </c>
      <c r="AP38" t="s">
        <v>112</v>
      </c>
      <c r="AQ38" t="s">
        <v>90</v>
      </c>
      <c r="AR38" t="s">
        <v>91</v>
      </c>
      <c r="AS38" t="s">
        <v>104</v>
      </c>
      <c r="AT38" t="s">
        <v>93</v>
      </c>
      <c r="AU38" t="s">
        <v>94</v>
      </c>
      <c r="AV38" t="s">
        <v>95</v>
      </c>
      <c r="AW38" t="s">
        <v>108</v>
      </c>
      <c r="AX38" t="s">
        <v>109</v>
      </c>
      <c r="AY38" t="s">
        <v>96</v>
      </c>
      <c r="AZ38" t="s">
        <v>97</v>
      </c>
      <c r="BA38" t="s">
        <v>117</v>
      </c>
      <c r="BB38" t="s">
        <v>100</v>
      </c>
      <c r="BC38" t="s">
        <v>93</v>
      </c>
      <c r="BD38" t="s">
        <v>94</v>
      </c>
      <c r="BE38" t="s">
        <v>88</v>
      </c>
      <c r="BF38" t="s">
        <v>90</v>
      </c>
      <c r="BG38" t="s">
        <v>95</v>
      </c>
      <c r="BH38" t="s">
        <v>117</v>
      </c>
      <c r="BI38" t="s">
        <v>109</v>
      </c>
      <c r="BJ38" t="s">
        <v>91</v>
      </c>
      <c r="BK38" t="s">
        <v>93</v>
      </c>
      <c r="BL38" t="s">
        <v>94</v>
      </c>
      <c r="BM38" t="s">
        <v>95</v>
      </c>
      <c r="BN38" t="s">
        <v>88</v>
      </c>
      <c r="BO38" t="s">
        <v>93</v>
      </c>
      <c r="BP38" t="s">
        <v>95</v>
      </c>
      <c r="BQ38" t="s">
        <v>93</v>
      </c>
      <c r="BR38" s="23" t="s">
        <v>209</v>
      </c>
      <c r="BS38" t="s">
        <v>128</v>
      </c>
      <c r="BT38" t="s">
        <v>132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14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11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4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6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70</v>
      </c>
    </row>
    <row r="39" spans="1:84" x14ac:dyDescent="0.25">
      <c r="A39" t="s">
        <v>180</v>
      </c>
      <c r="B39" t="s">
        <v>85</v>
      </c>
      <c r="C39" t="s">
        <v>86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181</v>
      </c>
      <c r="J39" t="s">
        <v>93</v>
      </c>
      <c r="K39" t="s">
        <v>94</v>
      </c>
      <c r="L39" t="s">
        <v>95</v>
      </c>
      <c r="M39" t="s">
        <v>96</v>
      </c>
      <c r="N39" t="s">
        <v>97</v>
      </c>
      <c r="O39" t="s">
        <v>110</v>
      </c>
      <c r="P39" t="s">
        <v>99</v>
      </c>
      <c r="Q39" t="s">
        <v>100</v>
      </c>
      <c r="R39" t="s">
        <v>89</v>
      </c>
      <c r="S39" t="s">
        <v>102</v>
      </c>
      <c r="T39" t="s">
        <v>103</v>
      </c>
      <c r="U39" t="s">
        <v>104</v>
      </c>
      <c r="V39" t="s">
        <v>105</v>
      </c>
      <c r="W39" t="s">
        <v>106</v>
      </c>
      <c r="X39" t="s">
        <v>107</v>
      </c>
      <c r="Y39" t="s">
        <v>108</v>
      </c>
      <c r="Z39" t="s">
        <v>109</v>
      </c>
      <c r="AA39" t="s">
        <v>98</v>
      </c>
      <c r="AB39" t="s">
        <v>239</v>
      </c>
      <c r="AC39" t="s">
        <v>111</v>
      </c>
      <c r="AD39" t="s">
        <v>126</v>
      </c>
      <c r="AE39" t="s">
        <v>113</v>
      </c>
      <c r="AF39" t="s">
        <v>114</v>
      </c>
      <c r="AG39" t="s">
        <v>115</v>
      </c>
      <c r="AH39" t="s">
        <v>116</v>
      </c>
      <c r="AI39" t="s">
        <v>117</v>
      </c>
      <c r="AJ39" t="s">
        <v>118</v>
      </c>
      <c r="AK39" t="s">
        <v>119</v>
      </c>
      <c r="AL39" t="s">
        <v>120</v>
      </c>
      <c r="AM39" t="s">
        <v>90</v>
      </c>
      <c r="AN39" t="s">
        <v>94</v>
      </c>
      <c r="AO39" t="s">
        <v>99</v>
      </c>
      <c r="AP39" t="s">
        <v>91</v>
      </c>
      <c r="AQ39" t="s">
        <v>108</v>
      </c>
      <c r="AR39" t="s">
        <v>93</v>
      </c>
      <c r="AS39" t="s">
        <v>101</v>
      </c>
      <c r="AT39" t="s">
        <v>92</v>
      </c>
      <c r="AU39" t="s">
        <v>88</v>
      </c>
      <c r="AV39" t="s">
        <v>106</v>
      </c>
      <c r="AW39" t="s">
        <v>86</v>
      </c>
      <c r="AX39" t="s">
        <v>97</v>
      </c>
      <c r="AY39" t="s">
        <v>95</v>
      </c>
      <c r="AZ39" t="s">
        <v>89</v>
      </c>
      <c r="BA39" t="s">
        <v>87</v>
      </c>
      <c r="BB39" t="s">
        <v>96</v>
      </c>
      <c r="BC39" t="s">
        <v>94</v>
      </c>
      <c r="BD39" t="s">
        <v>91</v>
      </c>
      <c r="BE39" t="s">
        <v>93</v>
      </c>
      <c r="BF39" t="s">
        <v>92</v>
      </c>
      <c r="BG39" t="s">
        <v>88</v>
      </c>
      <c r="BH39" t="s">
        <v>97</v>
      </c>
      <c r="BI39" t="s">
        <v>95</v>
      </c>
      <c r="BJ39" t="s">
        <v>96</v>
      </c>
      <c r="BK39" t="s">
        <v>94</v>
      </c>
      <c r="BL39" t="s">
        <v>93</v>
      </c>
      <c r="BM39" t="s">
        <v>88</v>
      </c>
      <c r="BN39" t="s">
        <v>96</v>
      </c>
      <c r="BO39" t="s">
        <v>93</v>
      </c>
      <c r="BP39" t="s">
        <v>96</v>
      </c>
      <c r="BQ39" t="s">
        <v>93</v>
      </c>
      <c r="BS39" t="s">
        <v>150</v>
      </c>
      <c r="BT39" t="s">
        <v>122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12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5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2</v>
      </c>
      <c r="CA39">
        <f>IF(COUNTIF('Resultats Reals'!$I$2:$I$3,BO39)&gt;0,3,0)+IF(COUNTIF('Resultats Reals'!$I$2:$I$3,BP39)&gt;0,3,0)</f>
        <v>3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4</v>
      </c>
      <c r="CE39">
        <f>IF(BR39='Resultats Reals'!$L$2,5,0)</f>
        <v>0</v>
      </c>
      <c r="CF39" s="7">
        <f t="shared" si="0"/>
        <v>71.5</v>
      </c>
    </row>
    <row r="40" spans="1:84" hidden="1" x14ac:dyDescent="0.25">
      <c r="A40" t="s">
        <v>184</v>
      </c>
      <c r="B40" t="s">
        <v>85</v>
      </c>
      <c r="C40" t="s">
        <v>86</v>
      </c>
      <c r="D40" t="s">
        <v>87</v>
      </c>
      <c r="E40" t="s">
        <v>88</v>
      </c>
      <c r="F40" t="s">
        <v>101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110</v>
      </c>
      <c r="P40" t="s">
        <v>239</v>
      </c>
      <c r="Q40" t="s">
        <v>100</v>
      </c>
      <c r="R40" t="s">
        <v>112</v>
      </c>
      <c r="S40" t="s">
        <v>102</v>
      </c>
      <c r="T40" t="s">
        <v>114</v>
      </c>
      <c r="U40" t="s">
        <v>104</v>
      </c>
      <c r="V40" t="s">
        <v>105</v>
      </c>
      <c r="W40" t="s">
        <v>117</v>
      </c>
      <c r="X40" t="s">
        <v>107</v>
      </c>
      <c r="Y40" t="s">
        <v>108</v>
      </c>
      <c r="Z40" t="s">
        <v>109</v>
      </c>
      <c r="AA40" t="s">
        <v>98</v>
      </c>
      <c r="AB40" t="s">
        <v>99</v>
      </c>
      <c r="AC40" t="s">
        <v>111</v>
      </c>
      <c r="AD40" t="s">
        <v>89</v>
      </c>
      <c r="AE40" t="s">
        <v>113</v>
      </c>
      <c r="AF40" t="s">
        <v>103</v>
      </c>
      <c r="AG40" t="s">
        <v>115</v>
      </c>
      <c r="AH40" t="s">
        <v>116</v>
      </c>
      <c r="AI40" t="s">
        <v>106</v>
      </c>
      <c r="AJ40" t="s">
        <v>118</v>
      </c>
      <c r="AK40" t="s">
        <v>127</v>
      </c>
      <c r="AL40" t="s">
        <v>120</v>
      </c>
      <c r="AM40" t="s">
        <v>90</v>
      </c>
      <c r="AN40" t="s">
        <v>94</v>
      </c>
      <c r="AO40" t="s">
        <v>110</v>
      </c>
      <c r="AP40" t="s">
        <v>91</v>
      </c>
      <c r="AQ40" t="s">
        <v>108</v>
      </c>
      <c r="AR40" t="s">
        <v>93</v>
      </c>
      <c r="AS40" t="s">
        <v>101</v>
      </c>
      <c r="AT40" t="s">
        <v>92</v>
      </c>
      <c r="AU40" t="s">
        <v>88</v>
      </c>
      <c r="AV40" t="s">
        <v>117</v>
      </c>
      <c r="AW40" t="s">
        <v>111</v>
      </c>
      <c r="AX40" t="s">
        <v>97</v>
      </c>
      <c r="AY40" t="s">
        <v>95</v>
      </c>
      <c r="AZ40" t="s">
        <v>104</v>
      </c>
      <c r="BA40" t="s">
        <v>87</v>
      </c>
      <c r="BB40" t="s">
        <v>96</v>
      </c>
      <c r="BC40" t="s">
        <v>94</v>
      </c>
      <c r="BD40" t="s">
        <v>91</v>
      </c>
      <c r="BE40" t="s">
        <v>93</v>
      </c>
      <c r="BF40" t="s">
        <v>101</v>
      </c>
      <c r="BG40" t="s">
        <v>88</v>
      </c>
      <c r="BH40" t="s">
        <v>97</v>
      </c>
      <c r="BI40" t="s">
        <v>95</v>
      </c>
      <c r="BJ40" t="s">
        <v>96</v>
      </c>
      <c r="BK40" t="s">
        <v>94</v>
      </c>
      <c r="BL40" t="s">
        <v>93</v>
      </c>
      <c r="BM40" t="s">
        <v>97</v>
      </c>
      <c r="BN40" t="s">
        <v>96</v>
      </c>
      <c r="BO40" t="s">
        <v>93</v>
      </c>
      <c r="BP40" t="s">
        <v>96</v>
      </c>
      <c r="BQ40" t="s">
        <v>93</v>
      </c>
      <c r="BR40" s="6" t="s">
        <v>209</v>
      </c>
      <c r="BS40" t="s">
        <v>121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16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14.5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11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3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 t="shared" si="0"/>
        <v>76.5</v>
      </c>
    </row>
    <row r="41" spans="1:84" x14ac:dyDescent="0.25">
      <c r="A41" t="s">
        <v>137</v>
      </c>
      <c r="B41" t="s">
        <v>135</v>
      </c>
      <c r="C41" t="s">
        <v>86</v>
      </c>
      <c r="D41" t="s">
        <v>87</v>
      </c>
      <c r="E41" t="s">
        <v>100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108</v>
      </c>
      <c r="N41" t="s">
        <v>97</v>
      </c>
      <c r="O41" t="s">
        <v>98</v>
      </c>
      <c r="P41" t="s">
        <v>99</v>
      </c>
      <c r="Q41" t="s">
        <v>88</v>
      </c>
      <c r="R41" t="s">
        <v>101</v>
      </c>
      <c r="S41" t="s">
        <v>102</v>
      </c>
      <c r="T41" t="s">
        <v>114</v>
      </c>
      <c r="U41" t="s">
        <v>104</v>
      </c>
      <c r="V41" t="s">
        <v>105</v>
      </c>
      <c r="W41" t="s">
        <v>117</v>
      </c>
      <c r="X41" t="s">
        <v>107</v>
      </c>
      <c r="Y41" t="s">
        <v>96</v>
      </c>
      <c r="Z41" t="s">
        <v>109</v>
      </c>
      <c r="AA41" t="s">
        <v>110</v>
      </c>
      <c r="AB41" t="s">
        <v>125</v>
      </c>
      <c r="AC41" t="s">
        <v>111</v>
      </c>
      <c r="AD41" t="s">
        <v>112</v>
      </c>
      <c r="AE41" t="s">
        <v>113</v>
      </c>
      <c r="AF41" t="s">
        <v>103</v>
      </c>
      <c r="AG41" t="s">
        <v>138</v>
      </c>
      <c r="AH41" t="s">
        <v>116</v>
      </c>
      <c r="AI41" t="s">
        <v>106</v>
      </c>
      <c r="AJ41" t="s">
        <v>118</v>
      </c>
      <c r="AK41" t="s">
        <v>119</v>
      </c>
      <c r="AL41" t="s">
        <v>120</v>
      </c>
      <c r="AM41" t="s">
        <v>86</v>
      </c>
      <c r="AN41" t="s">
        <v>87</v>
      </c>
      <c r="AO41" t="s">
        <v>100</v>
      </c>
      <c r="AP41" t="s">
        <v>89</v>
      </c>
      <c r="AQ41" t="s">
        <v>90</v>
      </c>
      <c r="AR41" t="s">
        <v>91</v>
      </c>
      <c r="AS41" t="s">
        <v>92</v>
      </c>
      <c r="AT41" t="s">
        <v>93</v>
      </c>
      <c r="AU41" t="s">
        <v>94</v>
      </c>
      <c r="AV41" t="s">
        <v>96</v>
      </c>
      <c r="AW41" t="s">
        <v>108</v>
      </c>
      <c r="AX41" t="s">
        <v>97</v>
      </c>
      <c r="AY41" t="s">
        <v>98</v>
      </c>
      <c r="AZ41" t="s">
        <v>88</v>
      </c>
      <c r="BA41" t="s">
        <v>114</v>
      </c>
      <c r="BB41" t="s">
        <v>105</v>
      </c>
      <c r="BC41" t="s">
        <v>86</v>
      </c>
      <c r="BD41" t="s">
        <v>100</v>
      </c>
      <c r="BE41" t="s">
        <v>90</v>
      </c>
      <c r="BF41" t="s">
        <v>93</v>
      </c>
      <c r="BG41" t="s">
        <v>94</v>
      </c>
      <c r="BH41" t="s">
        <v>97</v>
      </c>
      <c r="BI41" t="s">
        <v>88</v>
      </c>
      <c r="BJ41" t="s">
        <v>105</v>
      </c>
      <c r="BK41" t="s">
        <v>100</v>
      </c>
      <c r="BL41" t="s">
        <v>93</v>
      </c>
      <c r="BM41" t="s">
        <v>94</v>
      </c>
      <c r="BN41" t="s">
        <v>88</v>
      </c>
      <c r="BO41" t="s">
        <v>93</v>
      </c>
      <c r="BP41" t="s">
        <v>94</v>
      </c>
      <c r="BQ41" t="s">
        <v>93</v>
      </c>
      <c r="BS41" t="s">
        <v>121</v>
      </c>
      <c r="BT41" t="s">
        <v>128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23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11.5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3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8</v>
      </c>
      <c r="CE41">
        <f>IF(BR41='Resultats Reals'!$L$2,5,0)</f>
        <v>0</v>
      </c>
      <c r="CF41" s="7">
        <f t="shared" si="0"/>
        <v>78.5</v>
      </c>
    </row>
    <row r="42" spans="1:84" hidden="1" x14ac:dyDescent="0.25">
      <c r="A42" t="s">
        <v>179</v>
      </c>
      <c r="B42" t="s">
        <v>124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130</v>
      </c>
      <c r="P42" t="s">
        <v>125</v>
      </c>
      <c r="Q42" t="s">
        <v>100</v>
      </c>
      <c r="R42" t="s">
        <v>112</v>
      </c>
      <c r="S42" t="s">
        <v>102</v>
      </c>
      <c r="T42" t="s">
        <v>114</v>
      </c>
      <c r="U42" t="s">
        <v>115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98</v>
      </c>
      <c r="AB42" t="s">
        <v>239</v>
      </c>
      <c r="AC42" t="s">
        <v>111</v>
      </c>
      <c r="AD42" t="s">
        <v>101</v>
      </c>
      <c r="AE42" t="s">
        <v>113</v>
      </c>
      <c r="AF42" t="s">
        <v>103</v>
      </c>
      <c r="AG42" t="s">
        <v>104</v>
      </c>
      <c r="AH42" t="s">
        <v>116</v>
      </c>
      <c r="AI42" t="s">
        <v>117</v>
      </c>
      <c r="AJ42" t="s">
        <v>107</v>
      </c>
      <c r="AK42" t="s">
        <v>127</v>
      </c>
      <c r="AL42" t="s">
        <v>120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108</v>
      </c>
      <c r="AZ42" t="s">
        <v>100</v>
      </c>
      <c r="BA42" t="s">
        <v>117</v>
      </c>
      <c r="BB42" t="s">
        <v>103</v>
      </c>
      <c r="BC42" t="s">
        <v>93</v>
      </c>
      <c r="BD42" t="s">
        <v>94</v>
      </c>
      <c r="BE42" t="s">
        <v>95</v>
      </c>
      <c r="BF42" t="s">
        <v>96</v>
      </c>
      <c r="BG42" t="s">
        <v>88</v>
      </c>
      <c r="BH42" t="s">
        <v>90</v>
      </c>
      <c r="BI42" t="s">
        <v>97</v>
      </c>
      <c r="BJ42" t="s">
        <v>91</v>
      </c>
      <c r="BK42" t="s">
        <v>93</v>
      </c>
      <c r="BL42" t="s">
        <v>94</v>
      </c>
      <c r="BM42" t="s">
        <v>95</v>
      </c>
      <c r="BN42" t="s">
        <v>96</v>
      </c>
      <c r="BO42" t="s">
        <v>93</v>
      </c>
      <c r="BP42" t="s">
        <v>95</v>
      </c>
      <c r="BQ42" t="s">
        <v>95</v>
      </c>
      <c r="BR42" s="6" t="s">
        <v>268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22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13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13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13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6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8</v>
      </c>
      <c r="CE42">
        <f>IF(BR42='Resultats Reals'!$L$2,5,0)</f>
        <v>0</v>
      </c>
      <c r="CF42" s="7">
        <f t="shared" si="0"/>
        <v>82</v>
      </c>
    </row>
    <row r="43" spans="1:84" hidden="1" x14ac:dyDescent="0.25">
      <c r="A43" t="s">
        <v>191</v>
      </c>
      <c r="B43" t="s">
        <v>85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102</v>
      </c>
      <c r="T43" t="s">
        <v>103</v>
      </c>
      <c r="U43" t="s">
        <v>104</v>
      </c>
      <c r="V43" t="s">
        <v>105</v>
      </c>
      <c r="W43" t="s">
        <v>117</v>
      </c>
      <c r="X43" t="s">
        <v>118</v>
      </c>
      <c r="Y43" t="s">
        <v>108</v>
      </c>
      <c r="Z43" t="s">
        <v>109</v>
      </c>
      <c r="AA43" t="s">
        <v>110</v>
      </c>
      <c r="AB43" t="s">
        <v>239</v>
      </c>
      <c r="AC43" t="s">
        <v>111</v>
      </c>
      <c r="AD43" t="s">
        <v>112</v>
      </c>
      <c r="AE43" t="s">
        <v>113</v>
      </c>
      <c r="AF43" t="s">
        <v>114</v>
      </c>
      <c r="AG43" t="s">
        <v>115</v>
      </c>
      <c r="AH43" t="s">
        <v>116</v>
      </c>
      <c r="AI43" t="s">
        <v>106</v>
      </c>
      <c r="AJ43" t="s">
        <v>107</v>
      </c>
      <c r="AK43" t="s">
        <v>127</v>
      </c>
      <c r="AL43" t="s">
        <v>120</v>
      </c>
      <c r="AM43" t="s">
        <v>86</v>
      </c>
      <c r="AN43" t="s">
        <v>87</v>
      </c>
      <c r="AO43" t="s">
        <v>88</v>
      </c>
      <c r="AP43" t="s">
        <v>101</v>
      </c>
      <c r="AQ43" t="s">
        <v>90</v>
      </c>
      <c r="AR43" t="s">
        <v>192</v>
      </c>
      <c r="AS43" t="s">
        <v>92</v>
      </c>
      <c r="AT43" t="s">
        <v>93</v>
      </c>
      <c r="AU43" t="s">
        <v>94</v>
      </c>
      <c r="AV43" t="s">
        <v>95</v>
      </c>
      <c r="AW43" t="s">
        <v>96</v>
      </c>
      <c r="AX43" t="s">
        <v>97</v>
      </c>
      <c r="AY43" t="s">
        <v>98</v>
      </c>
      <c r="AZ43" t="s">
        <v>102</v>
      </c>
      <c r="BA43" t="s">
        <v>108</v>
      </c>
      <c r="BB43" t="s">
        <v>89</v>
      </c>
      <c r="BC43" t="s">
        <v>94</v>
      </c>
      <c r="BD43" t="s">
        <v>91</v>
      </c>
      <c r="BE43" t="s">
        <v>88</v>
      </c>
      <c r="BF43" t="s">
        <v>97</v>
      </c>
      <c r="BG43" t="s">
        <v>101</v>
      </c>
      <c r="BH43" t="s">
        <v>93</v>
      </c>
      <c r="BI43" t="s">
        <v>95</v>
      </c>
      <c r="BJ43" t="s">
        <v>96</v>
      </c>
      <c r="BK43" t="s">
        <v>94</v>
      </c>
      <c r="BL43" t="s">
        <v>88</v>
      </c>
      <c r="BM43" t="s">
        <v>93</v>
      </c>
      <c r="BN43" t="s">
        <v>96</v>
      </c>
      <c r="BO43" t="s">
        <v>93</v>
      </c>
      <c r="BP43" t="s">
        <v>94</v>
      </c>
      <c r="BQ43" t="s">
        <v>93</v>
      </c>
      <c r="BR43" s="6" t="s">
        <v>265</v>
      </c>
      <c r="BS43" t="s">
        <v>121</v>
      </c>
      <c r="BT43" t="s">
        <v>128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3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8</v>
      </c>
      <c r="CE43">
        <f>IF(BR43='Resultats Reals'!$L$2,5,0)</f>
        <v>0</v>
      </c>
      <c r="CF43" s="7">
        <f t="shared" si="0"/>
        <v>78</v>
      </c>
    </row>
    <row r="44" spans="1:84" x14ac:dyDescent="0.25">
      <c r="A44" t="s">
        <v>197</v>
      </c>
      <c r="B44" t="s">
        <v>135</v>
      </c>
      <c r="C44" t="s">
        <v>86</v>
      </c>
      <c r="D44" t="s">
        <v>87</v>
      </c>
      <c r="E44" t="s">
        <v>88</v>
      </c>
      <c r="F44" t="s">
        <v>89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98</v>
      </c>
      <c r="P44" t="s">
        <v>239</v>
      </c>
      <c r="Q44" t="s">
        <v>100</v>
      </c>
      <c r="R44" t="s">
        <v>112</v>
      </c>
      <c r="S44" t="s">
        <v>102</v>
      </c>
      <c r="T44" t="s">
        <v>114</v>
      </c>
      <c r="U44" t="s">
        <v>104</v>
      </c>
      <c r="V44" t="s">
        <v>105</v>
      </c>
      <c r="W44" t="s">
        <v>117</v>
      </c>
      <c r="X44" t="s">
        <v>107</v>
      </c>
      <c r="Y44" t="s">
        <v>108</v>
      </c>
      <c r="Z44" t="s">
        <v>109</v>
      </c>
      <c r="AA44" t="s">
        <v>198</v>
      </c>
      <c r="AB44" t="s">
        <v>125</v>
      </c>
      <c r="AC44" t="s">
        <v>111</v>
      </c>
      <c r="AD44" t="s">
        <v>101</v>
      </c>
      <c r="AE44" t="s">
        <v>113</v>
      </c>
      <c r="AF44" t="s">
        <v>103</v>
      </c>
      <c r="AG44" t="s">
        <v>115</v>
      </c>
      <c r="AH44" t="s">
        <v>116</v>
      </c>
      <c r="AI44" t="s">
        <v>106</v>
      </c>
      <c r="AJ44" t="s">
        <v>118</v>
      </c>
      <c r="AK44" t="s">
        <v>119</v>
      </c>
      <c r="AL44" t="s">
        <v>120</v>
      </c>
      <c r="AM44" t="s">
        <v>90</v>
      </c>
      <c r="AN44" t="s">
        <v>94</v>
      </c>
      <c r="AO44" t="s">
        <v>98</v>
      </c>
      <c r="AP44" t="s">
        <v>100</v>
      </c>
      <c r="AQ44" t="s">
        <v>88</v>
      </c>
      <c r="AR44" t="s">
        <v>117</v>
      </c>
      <c r="AS44" t="s">
        <v>86</v>
      </c>
      <c r="AT44" t="s">
        <v>97</v>
      </c>
      <c r="AU44" t="s">
        <v>95</v>
      </c>
      <c r="AV44" t="s">
        <v>112</v>
      </c>
      <c r="AW44" t="s">
        <v>87</v>
      </c>
      <c r="AX44" t="s">
        <v>96</v>
      </c>
      <c r="AY44" t="s">
        <v>92</v>
      </c>
      <c r="AZ44" t="s">
        <v>89</v>
      </c>
      <c r="BA44" t="s">
        <v>93</v>
      </c>
      <c r="BB44" t="s">
        <v>108</v>
      </c>
      <c r="BC44" t="s">
        <v>92</v>
      </c>
      <c r="BD44" t="s">
        <v>93</v>
      </c>
      <c r="BE44" t="s">
        <v>95</v>
      </c>
      <c r="BF44" t="s">
        <v>96</v>
      </c>
      <c r="BG44" t="s">
        <v>88</v>
      </c>
      <c r="BH44" t="s">
        <v>90</v>
      </c>
      <c r="BI44" t="s">
        <v>100</v>
      </c>
      <c r="BJ44" t="s">
        <v>97</v>
      </c>
      <c r="BK44" t="s">
        <v>90</v>
      </c>
      <c r="BL44" t="s">
        <v>93</v>
      </c>
      <c r="BM44" t="s">
        <v>97</v>
      </c>
      <c r="BN44" t="s">
        <v>95</v>
      </c>
      <c r="BO44" t="s">
        <v>95</v>
      </c>
      <c r="BP44" t="s">
        <v>90</v>
      </c>
      <c r="BQ44" t="s">
        <v>95</v>
      </c>
      <c r="BS44" t="s">
        <v>157</v>
      </c>
      <c r="BT44" t="s">
        <v>145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23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16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14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5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1</v>
      </c>
      <c r="CE44">
        <f>IF(BR44='Resultats Reals'!$L$2,5,0)</f>
        <v>0</v>
      </c>
      <c r="CF44" s="7">
        <f t="shared" si="0"/>
        <v>75</v>
      </c>
    </row>
    <row r="45" spans="1:84" hidden="1" x14ac:dyDescent="0.25">
      <c r="A45" t="s">
        <v>162</v>
      </c>
      <c r="B45" t="s">
        <v>163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98</v>
      </c>
      <c r="P45" t="s">
        <v>99</v>
      </c>
      <c r="Q45" t="s">
        <v>100</v>
      </c>
      <c r="R45" t="s">
        <v>89</v>
      </c>
      <c r="S45" t="s">
        <v>102</v>
      </c>
      <c r="T45" t="s">
        <v>114</v>
      </c>
      <c r="U45" t="s">
        <v>104</v>
      </c>
      <c r="V45" t="s">
        <v>105</v>
      </c>
      <c r="W45" t="s">
        <v>106</v>
      </c>
      <c r="X45" t="s">
        <v>118</v>
      </c>
      <c r="Y45" t="s">
        <v>108</v>
      </c>
      <c r="Z45" t="s">
        <v>109</v>
      </c>
      <c r="AA45" t="s">
        <v>130</v>
      </c>
      <c r="AB45" t="s">
        <v>239</v>
      </c>
      <c r="AC45" t="s">
        <v>111</v>
      </c>
      <c r="AD45" t="s">
        <v>126</v>
      </c>
      <c r="AE45" t="s">
        <v>113</v>
      </c>
      <c r="AF45" t="s">
        <v>103</v>
      </c>
      <c r="AG45" t="s">
        <v>115</v>
      </c>
      <c r="AH45" t="s">
        <v>116</v>
      </c>
      <c r="AI45" t="s">
        <v>117</v>
      </c>
      <c r="AJ45" t="s">
        <v>143</v>
      </c>
      <c r="AK45" t="s">
        <v>119</v>
      </c>
      <c r="AL45" t="s">
        <v>144</v>
      </c>
      <c r="AM45" t="s">
        <v>90</v>
      </c>
      <c r="AN45" t="s">
        <v>88</v>
      </c>
      <c r="AO45" t="s">
        <v>95</v>
      </c>
      <c r="AP45" t="s">
        <v>93</v>
      </c>
      <c r="AQ45" t="s">
        <v>91</v>
      </c>
      <c r="AR45" t="s">
        <v>94</v>
      </c>
      <c r="AS45" t="s">
        <v>97</v>
      </c>
      <c r="AT45" t="s">
        <v>100</v>
      </c>
      <c r="AU45" t="s">
        <v>108</v>
      </c>
      <c r="AV45" t="s">
        <v>86</v>
      </c>
      <c r="AW45" t="s">
        <v>105</v>
      </c>
      <c r="AX45" t="s">
        <v>113</v>
      </c>
      <c r="AY45" t="s">
        <v>102</v>
      </c>
      <c r="AZ45" t="s">
        <v>114</v>
      </c>
      <c r="BA45" t="s">
        <v>96</v>
      </c>
      <c r="BB45" t="s">
        <v>109</v>
      </c>
      <c r="BC45" t="s">
        <v>95</v>
      </c>
      <c r="BD45" t="s">
        <v>93</v>
      </c>
      <c r="BE45" t="s">
        <v>96</v>
      </c>
      <c r="BF45" t="s">
        <v>94</v>
      </c>
      <c r="BG45" t="s">
        <v>91</v>
      </c>
      <c r="BH45" t="s">
        <v>97</v>
      </c>
      <c r="BI45" t="s">
        <v>88</v>
      </c>
      <c r="BJ45" t="s">
        <v>108</v>
      </c>
      <c r="BK45" t="s">
        <v>93</v>
      </c>
      <c r="BL45" t="s">
        <v>95</v>
      </c>
      <c r="BM45" t="s">
        <v>94</v>
      </c>
      <c r="BN45" t="s">
        <v>96</v>
      </c>
      <c r="BO45" t="s">
        <v>93</v>
      </c>
      <c r="BP45" t="s">
        <v>94</v>
      </c>
      <c r="BQ45" t="s">
        <v>94</v>
      </c>
      <c r="BR45" s="6" t="s">
        <v>270</v>
      </c>
      <c r="BS45" t="s">
        <v>121</v>
      </c>
      <c r="BT45" t="s">
        <v>128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21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9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3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8</v>
      </c>
      <c r="CE45">
        <f>IF(BR45='Resultats Reals'!$L$2,5,0)</f>
        <v>0</v>
      </c>
      <c r="CF45" s="7">
        <f t="shared" si="0"/>
        <v>72</v>
      </c>
    </row>
    <row r="46" spans="1:84" x14ac:dyDescent="0.25">
      <c r="A46" t="s">
        <v>158</v>
      </c>
      <c r="B46" t="s">
        <v>135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108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102</v>
      </c>
      <c r="T46" t="s">
        <v>114</v>
      </c>
      <c r="U46" t="s">
        <v>104</v>
      </c>
      <c r="V46" t="s">
        <v>105</v>
      </c>
      <c r="W46" t="s">
        <v>117</v>
      </c>
      <c r="X46" t="s">
        <v>107</v>
      </c>
      <c r="Y46" t="s">
        <v>96</v>
      </c>
      <c r="Z46" t="s">
        <v>109</v>
      </c>
      <c r="AA46" t="s">
        <v>98</v>
      </c>
      <c r="AB46" t="s">
        <v>239</v>
      </c>
      <c r="AC46" t="s">
        <v>111</v>
      </c>
      <c r="AD46" t="s">
        <v>112</v>
      </c>
      <c r="AE46" t="s">
        <v>113</v>
      </c>
      <c r="AF46" t="s">
        <v>103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144</v>
      </c>
      <c r="AM46" t="s">
        <v>88</v>
      </c>
      <c r="AN46" t="s">
        <v>95</v>
      </c>
      <c r="AO46" t="s">
        <v>93</v>
      </c>
      <c r="AP46" t="s">
        <v>100</v>
      </c>
      <c r="AQ46" t="s">
        <v>108</v>
      </c>
      <c r="AR46" t="s">
        <v>94</v>
      </c>
      <c r="AS46" t="s">
        <v>90</v>
      </c>
      <c r="AT46" t="s">
        <v>96</v>
      </c>
      <c r="AU46" t="s">
        <v>97</v>
      </c>
      <c r="AV46" t="s">
        <v>91</v>
      </c>
      <c r="AW46" t="s">
        <v>92</v>
      </c>
      <c r="AX46" t="s">
        <v>105</v>
      </c>
      <c r="AY46" t="s">
        <v>114</v>
      </c>
      <c r="AZ46" t="s">
        <v>109</v>
      </c>
      <c r="BA46" t="s">
        <v>89</v>
      </c>
      <c r="BB46" t="s">
        <v>86</v>
      </c>
      <c r="BC46" t="s">
        <v>95</v>
      </c>
      <c r="BD46" t="s">
        <v>94</v>
      </c>
      <c r="BE46" t="s">
        <v>93</v>
      </c>
      <c r="BF46" t="s">
        <v>91</v>
      </c>
      <c r="BG46" t="s">
        <v>97</v>
      </c>
      <c r="BH46" t="s">
        <v>88</v>
      </c>
      <c r="BI46" t="s">
        <v>96</v>
      </c>
      <c r="BJ46" t="s">
        <v>105</v>
      </c>
      <c r="BK46" t="s">
        <v>95</v>
      </c>
      <c r="BL46" t="s">
        <v>94</v>
      </c>
      <c r="BM46" t="s">
        <v>91</v>
      </c>
      <c r="BN46" t="s">
        <v>93</v>
      </c>
      <c r="BO46" t="s">
        <v>93</v>
      </c>
      <c r="BP46" t="s">
        <v>95</v>
      </c>
      <c r="BQ46" t="s">
        <v>93</v>
      </c>
      <c r="BR46" s="6" t="s">
        <v>265</v>
      </c>
      <c r="BS46" t="s">
        <v>150</v>
      </c>
      <c r="BT46" t="s">
        <v>145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24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4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3</v>
      </c>
      <c r="CA46">
        <f>IF(COUNTIF('Resultats Reals'!$I$2:$I$3,BO46)&gt;0,3,0)+IF(COUNTIF('Resultats Reals'!$I$2:$I$3,BP46)&gt;0,3,0)</f>
        <v>6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1</v>
      </c>
      <c r="CE46">
        <f>IF(BR46='Resultats Reals'!$L$2,5,0)</f>
        <v>0</v>
      </c>
      <c r="CF46" s="7">
        <f t="shared" si="0"/>
        <v>80</v>
      </c>
    </row>
    <row r="47" spans="1:84" x14ac:dyDescent="0.25">
      <c r="A47" t="s">
        <v>136</v>
      </c>
      <c r="B47" t="s">
        <v>85</v>
      </c>
      <c r="C47" t="s">
        <v>86</v>
      </c>
      <c r="D47" t="s">
        <v>87</v>
      </c>
      <c r="E47" t="s">
        <v>88</v>
      </c>
      <c r="F47" t="s">
        <v>101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98</v>
      </c>
      <c r="P47" t="s">
        <v>99</v>
      </c>
      <c r="Q47" t="s">
        <v>100</v>
      </c>
      <c r="R47" t="s">
        <v>89</v>
      </c>
      <c r="S47" t="s">
        <v>102</v>
      </c>
      <c r="T47" t="s">
        <v>114</v>
      </c>
      <c r="U47" t="s">
        <v>104</v>
      </c>
      <c r="V47" t="s">
        <v>105</v>
      </c>
      <c r="W47" t="s">
        <v>117</v>
      </c>
      <c r="X47" t="s">
        <v>118</v>
      </c>
      <c r="Y47" t="s">
        <v>108</v>
      </c>
      <c r="Z47" t="s">
        <v>109</v>
      </c>
      <c r="AA47" t="s">
        <v>110</v>
      </c>
      <c r="AB47" t="s">
        <v>239</v>
      </c>
      <c r="AC47" t="s">
        <v>111</v>
      </c>
      <c r="AD47" t="s">
        <v>126</v>
      </c>
      <c r="AE47" t="s">
        <v>113</v>
      </c>
      <c r="AF47" t="s">
        <v>103</v>
      </c>
      <c r="AG47" t="s">
        <v>115</v>
      </c>
      <c r="AH47" t="s">
        <v>116</v>
      </c>
      <c r="AI47" t="s">
        <v>106</v>
      </c>
      <c r="AJ47" t="s">
        <v>107</v>
      </c>
      <c r="AK47" t="s">
        <v>119</v>
      </c>
      <c r="AL47" t="s">
        <v>120</v>
      </c>
      <c r="AM47" t="s">
        <v>88</v>
      </c>
      <c r="AN47" t="s">
        <v>90</v>
      </c>
      <c r="AO47" t="s">
        <v>100</v>
      </c>
      <c r="AP47" t="s">
        <v>93</v>
      </c>
      <c r="AQ47" t="s">
        <v>92</v>
      </c>
      <c r="AR47" t="s">
        <v>91</v>
      </c>
      <c r="AS47" t="s">
        <v>95</v>
      </c>
      <c r="AT47" t="s">
        <v>94</v>
      </c>
      <c r="AU47" t="s">
        <v>97</v>
      </c>
      <c r="AV47" t="s">
        <v>109</v>
      </c>
      <c r="AW47" t="s">
        <v>96</v>
      </c>
      <c r="AX47" t="s">
        <v>105</v>
      </c>
      <c r="AY47" t="s">
        <v>102</v>
      </c>
      <c r="AZ47" t="s">
        <v>101</v>
      </c>
      <c r="BA47" t="s">
        <v>108</v>
      </c>
      <c r="BB47" t="s">
        <v>106</v>
      </c>
      <c r="BC47" t="s">
        <v>93</v>
      </c>
      <c r="BD47" t="s">
        <v>95</v>
      </c>
      <c r="BE47" t="s">
        <v>94</v>
      </c>
      <c r="BF47" t="s">
        <v>88</v>
      </c>
      <c r="BG47" t="s">
        <v>90</v>
      </c>
      <c r="BH47" t="s">
        <v>100</v>
      </c>
      <c r="BI47" t="s">
        <v>96</v>
      </c>
      <c r="BJ47" t="s">
        <v>91</v>
      </c>
      <c r="BK47" t="s">
        <v>93</v>
      </c>
      <c r="BL47" t="s">
        <v>88</v>
      </c>
      <c r="BM47" t="s">
        <v>95</v>
      </c>
      <c r="BN47" t="s">
        <v>94</v>
      </c>
      <c r="BO47" t="s">
        <v>93</v>
      </c>
      <c r="BP47" t="s">
        <v>94</v>
      </c>
      <c r="BQ47" t="s">
        <v>93</v>
      </c>
      <c r="BS47" t="s">
        <v>121</v>
      </c>
      <c r="BT47" t="s">
        <v>128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21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16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9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4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3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8</v>
      </c>
      <c r="CE47">
        <f>IF(BR47='Resultats Reals'!$L$2,5,0)</f>
        <v>0</v>
      </c>
      <c r="CF47" s="7">
        <f t="shared" si="0"/>
        <v>76</v>
      </c>
    </row>
    <row r="48" spans="1:84" x14ac:dyDescent="0.25">
      <c r="A48" t="s">
        <v>165</v>
      </c>
      <c r="B48" t="s">
        <v>135</v>
      </c>
      <c r="C48" t="s">
        <v>86</v>
      </c>
      <c r="D48" t="s">
        <v>87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99</v>
      </c>
      <c r="Q48" t="s">
        <v>100</v>
      </c>
      <c r="R48" t="s">
        <v>112</v>
      </c>
      <c r="S48" t="s">
        <v>113</v>
      </c>
      <c r="T48" t="s">
        <v>103</v>
      </c>
      <c r="U48" t="s">
        <v>138</v>
      </c>
      <c r="V48" t="s">
        <v>105</v>
      </c>
      <c r="W48" t="s">
        <v>106</v>
      </c>
      <c r="X48" t="s">
        <v>107</v>
      </c>
      <c r="Y48" t="s">
        <v>96</v>
      </c>
      <c r="Z48" t="s">
        <v>109</v>
      </c>
      <c r="AA48" t="s">
        <v>98</v>
      </c>
      <c r="AB48" t="s">
        <v>239</v>
      </c>
      <c r="AC48" t="s">
        <v>111</v>
      </c>
      <c r="AD48" t="s">
        <v>89</v>
      </c>
      <c r="AE48" t="s">
        <v>102</v>
      </c>
      <c r="AF48" t="s">
        <v>114</v>
      </c>
      <c r="AG48" t="s">
        <v>104</v>
      </c>
      <c r="AH48" t="s">
        <v>116</v>
      </c>
      <c r="AI48" t="s">
        <v>117</v>
      </c>
      <c r="AJ48" t="s">
        <v>118</v>
      </c>
      <c r="AK48" t="s">
        <v>127</v>
      </c>
      <c r="AL48" t="s">
        <v>120</v>
      </c>
      <c r="AM48" t="s">
        <v>86</v>
      </c>
      <c r="AN48" t="s">
        <v>100</v>
      </c>
      <c r="AO48" t="s">
        <v>90</v>
      </c>
      <c r="AP48" t="s">
        <v>96</v>
      </c>
      <c r="AQ48" t="s">
        <v>94</v>
      </c>
      <c r="AR48" t="s">
        <v>105</v>
      </c>
      <c r="AS48" t="s">
        <v>92</v>
      </c>
      <c r="AT48" t="s">
        <v>87</v>
      </c>
      <c r="AU48" t="s">
        <v>88</v>
      </c>
      <c r="AV48" t="s">
        <v>91</v>
      </c>
      <c r="AW48" t="s">
        <v>93</v>
      </c>
      <c r="AX48" t="s">
        <v>95</v>
      </c>
      <c r="AY48" t="s">
        <v>103</v>
      </c>
      <c r="AZ48" t="s">
        <v>97</v>
      </c>
      <c r="BA48" t="s">
        <v>99</v>
      </c>
      <c r="BB48" t="s">
        <v>108</v>
      </c>
      <c r="BC48" t="s">
        <v>86</v>
      </c>
      <c r="BD48" t="s">
        <v>90</v>
      </c>
      <c r="BE48" t="s">
        <v>94</v>
      </c>
      <c r="BF48" t="s">
        <v>92</v>
      </c>
      <c r="BG48" t="s">
        <v>88</v>
      </c>
      <c r="BH48" t="s">
        <v>91</v>
      </c>
      <c r="BI48" t="s">
        <v>95</v>
      </c>
      <c r="BJ48" t="s">
        <v>97</v>
      </c>
      <c r="BK48" t="s">
        <v>90</v>
      </c>
      <c r="BL48" t="s">
        <v>94</v>
      </c>
      <c r="BM48" t="s">
        <v>88</v>
      </c>
      <c r="BN48" t="s">
        <v>95</v>
      </c>
      <c r="BO48" t="s">
        <v>90</v>
      </c>
      <c r="BP48" t="s">
        <v>88</v>
      </c>
      <c r="BQ48" t="s">
        <v>88</v>
      </c>
      <c r="BS48" t="s">
        <v>166</v>
      </c>
      <c r="BT48" t="s">
        <v>166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22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12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4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 t="shared" si="0"/>
        <v>74</v>
      </c>
    </row>
    <row r="49" spans="1:84" hidden="1" x14ac:dyDescent="0.25">
      <c r="A49" t="s">
        <v>123</v>
      </c>
      <c r="B49" t="s">
        <v>124</v>
      </c>
      <c r="C49" t="s">
        <v>86</v>
      </c>
      <c r="D49" t="s">
        <v>87</v>
      </c>
      <c r="E49" t="s">
        <v>88</v>
      </c>
      <c r="F49" t="s">
        <v>89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110</v>
      </c>
      <c r="P49" t="s">
        <v>99</v>
      </c>
      <c r="Q49" t="s">
        <v>100</v>
      </c>
      <c r="R49" t="s">
        <v>101</v>
      </c>
      <c r="S49" t="s">
        <v>102</v>
      </c>
      <c r="T49" t="s">
        <v>114</v>
      </c>
      <c r="U49" t="s">
        <v>115</v>
      </c>
      <c r="V49" t="s">
        <v>105</v>
      </c>
      <c r="W49" t="s">
        <v>117</v>
      </c>
      <c r="X49" t="s">
        <v>107</v>
      </c>
      <c r="Y49" t="s">
        <v>108</v>
      </c>
      <c r="Z49" t="s">
        <v>109</v>
      </c>
      <c r="AA49" t="s">
        <v>98</v>
      </c>
      <c r="AB49" t="s">
        <v>125</v>
      </c>
      <c r="AC49" t="s">
        <v>111</v>
      </c>
      <c r="AD49" t="s">
        <v>126</v>
      </c>
      <c r="AE49" t="s">
        <v>113</v>
      </c>
      <c r="AF49" t="s">
        <v>103</v>
      </c>
      <c r="AG49" t="s">
        <v>104</v>
      </c>
      <c r="AH49" t="s">
        <v>116</v>
      </c>
      <c r="AI49" t="s">
        <v>106</v>
      </c>
      <c r="AJ49" t="s">
        <v>118</v>
      </c>
      <c r="AK49" t="s">
        <v>127</v>
      </c>
      <c r="AL49" t="s">
        <v>120</v>
      </c>
      <c r="AM49" t="s">
        <v>86</v>
      </c>
      <c r="AN49" t="s">
        <v>87</v>
      </c>
      <c r="AO49" t="s">
        <v>88</v>
      </c>
      <c r="AP49" t="s">
        <v>89</v>
      </c>
      <c r="AQ49" t="s">
        <v>90</v>
      </c>
      <c r="AR49" t="s">
        <v>91</v>
      </c>
      <c r="AS49" t="s">
        <v>92</v>
      </c>
      <c r="AT49" t="s">
        <v>93</v>
      </c>
      <c r="AU49" t="s">
        <v>94</v>
      </c>
      <c r="AV49" t="s">
        <v>95</v>
      </c>
      <c r="AW49" t="s">
        <v>96</v>
      </c>
      <c r="AX49" t="s">
        <v>97</v>
      </c>
      <c r="AY49" t="s">
        <v>105</v>
      </c>
      <c r="AZ49" t="s">
        <v>109</v>
      </c>
      <c r="BA49" t="s">
        <v>108</v>
      </c>
      <c r="BB49" t="s">
        <v>100</v>
      </c>
      <c r="BC49" t="s">
        <v>88</v>
      </c>
      <c r="BD49" t="s">
        <v>89</v>
      </c>
      <c r="BE49" t="s">
        <v>90</v>
      </c>
      <c r="BF49" t="s">
        <v>91</v>
      </c>
      <c r="BG49" t="s">
        <v>97</v>
      </c>
      <c r="BH49" t="s">
        <v>93</v>
      </c>
      <c r="BI49" t="s">
        <v>94</v>
      </c>
      <c r="BJ49" t="s">
        <v>95</v>
      </c>
      <c r="BK49" t="s">
        <v>93</v>
      </c>
      <c r="BL49" t="s">
        <v>94</v>
      </c>
      <c r="BM49" t="s">
        <v>97</v>
      </c>
      <c r="BN49" t="s">
        <v>88</v>
      </c>
      <c r="BO49" t="s">
        <v>93</v>
      </c>
      <c r="BP49" t="s">
        <v>94</v>
      </c>
      <c r="BQ49" t="s">
        <v>93</v>
      </c>
      <c r="BR49" s="6" t="s">
        <v>269</v>
      </c>
      <c r="BS49" t="s">
        <v>121</v>
      </c>
      <c r="BT49" t="s">
        <v>128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23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14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14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12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3</v>
      </c>
      <c r="CA49">
        <f>IF(COUNTIF('Resultats Reals'!$I$2:$I$3,BO49)&gt;0,3,0)+IF(COUNTIF('Resultats Reals'!$I$2:$I$3,BP49)&gt;0,3,0)</f>
        <v>3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8</v>
      </c>
      <c r="CE49">
        <f>IF(BR49='Resultats Reals'!$L$2,5,0)</f>
        <v>0</v>
      </c>
      <c r="CF49" s="7">
        <f t="shared" si="0"/>
        <v>81</v>
      </c>
    </row>
  </sheetData>
  <autoFilter ref="A1:CF49" xr:uid="{00000000-0001-0000-0100-000000000000}">
    <filterColumn colId="69">
      <filters blank="1"/>
    </filterColumn>
    <sortState xmlns:xlrd2="http://schemas.microsoft.com/office/spreadsheetml/2017/richdata2" ref="A2:CF49">
      <sortCondition ref="A1:A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236</v>
      </c>
      <c r="B1" t="s">
        <v>237</v>
      </c>
    </row>
    <row r="2" spans="1:2" x14ac:dyDescent="0.25">
      <c r="A2" s="12" t="s">
        <v>204</v>
      </c>
      <c r="B2">
        <v>64.5</v>
      </c>
    </row>
    <row r="3" spans="1:2" x14ac:dyDescent="0.25">
      <c r="A3" s="12" t="s">
        <v>123</v>
      </c>
      <c r="B3">
        <v>64</v>
      </c>
    </row>
    <row r="4" spans="1:2" x14ac:dyDescent="0.25">
      <c r="A4" s="12" t="s">
        <v>203</v>
      </c>
      <c r="B4">
        <v>63.5</v>
      </c>
    </row>
    <row r="5" spans="1:2" x14ac:dyDescent="0.25">
      <c r="A5" s="12" t="s">
        <v>137</v>
      </c>
      <c r="B5">
        <v>63.5</v>
      </c>
    </row>
    <row r="6" spans="1:2" x14ac:dyDescent="0.25">
      <c r="A6" s="12" t="s">
        <v>185</v>
      </c>
      <c r="B6">
        <v>63.5</v>
      </c>
    </row>
    <row r="7" spans="1:2" x14ac:dyDescent="0.25">
      <c r="A7" s="12" t="s">
        <v>149</v>
      </c>
      <c r="B7">
        <v>63.5</v>
      </c>
    </row>
    <row r="8" spans="1:2" x14ac:dyDescent="0.25">
      <c r="A8" s="12" t="s">
        <v>182</v>
      </c>
      <c r="B8">
        <v>63</v>
      </c>
    </row>
    <row r="9" spans="1:2" x14ac:dyDescent="0.25">
      <c r="A9" s="12" t="s">
        <v>173</v>
      </c>
      <c r="B9">
        <v>62.5</v>
      </c>
    </row>
    <row r="10" spans="1:2" x14ac:dyDescent="0.25">
      <c r="A10" s="12" t="s">
        <v>199</v>
      </c>
      <c r="B10">
        <v>62.5</v>
      </c>
    </row>
    <row r="11" spans="1:2" x14ac:dyDescent="0.25">
      <c r="A11" s="12" t="s">
        <v>168</v>
      </c>
      <c r="B11">
        <v>62.5</v>
      </c>
    </row>
    <row r="12" spans="1:2" x14ac:dyDescent="0.25">
      <c r="A12" s="12" t="s">
        <v>175</v>
      </c>
      <c r="B12">
        <v>62</v>
      </c>
    </row>
    <row r="13" spans="1:2" x14ac:dyDescent="0.25">
      <c r="A13" s="12" t="s">
        <v>202</v>
      </c>
      <c r="B13">
        <v>62</v>
      </c>
    </row>
    <row r="14" spans="1:2" x14ac:dyDescent="0.25">
      <c r="A14" s="12" t="s">
        <v>134</v>
      </c>
      <c r="B14">
        <v>62</v>
      </c>
    </row>
    <row r="15" spans="1:2" x14ac:dyDescent="0.25">
      <c r="A15" s="12" t="s">
        <v>207</v>
      </c>
      <c r="B15">
        <v>61.5</v>
      </c>
    </row>
    <row r="16" spans="1:2" x14ac:dyDescent="0.25">
      <c r="A16" s="12" t="s">
        <v>179</v>
      </c>
      <c r="B16">
        <v>61</v>
      </c>
    </row>
    <row r="17" spans="1:2" x14ac:dyDescent="0.25">
      <c r="A17" s="12" t="s">
        <v>165</v>
      </c>
      <c r="B17">
        <v>61</v>
      </c>
    </row>
    <row r="18" spans="1:2" x14ac:dyDescent="0.25">
      <c r="A18" s="12" t="s">
        <v>187</v>
      </c>
      <c r="B18">
        <v>61</v>
      </c>
    </row>
    <row r="19" spans="1:2" x14ac:dyDescent="0.25">
      <c r="A19" s="12" t="s">
        <v>200</v>
      </c>
      <c r="B19">
        <v>61</v>
      </c>
    </row>
    <row r="20" spans="1:2" x14ac:dyDescent="0.25">
      <c r="A20" s="12" t="s">
        <v>158</v>
      </c>
      <c r="B20">
        <v>60</v>
      </c>
    </row>
    <row r="21" spans="1:2" x14ac:dyDescent="0.25">
      <c r="A21" s="12" t="s">
        <v>191</v>
      </c>
      <c r="B21">
        <v>60</v>
      </c>
    </row>
    <row r="22" spans="1:2" x14ac:dyDescent="0.25">
      <c r="A22" s="12" t="s">
        <v>186</v>
      </c>
      <c r="B22">
        <v>60</v>
      </c>
    </row>
    <row r="23" spans="1:2" x14ac:dyDescent="0.25">
      <c r="A23" s="12" t="s">
        <v>146</v>
      </c>
      <c r="B23">
        <v>59</v>
      </c>
    </row>
    <row r="24" spans="1:2" x14ac:dyDescent="0.25">
      <c r="A24" s="12" t="s">
        <v>183</v>
      </c>
      <c r="B24">
        <v>58.5</v>
      </c>
    </row>
    <row r="25" spans="1:2" x14ac:dyDescent="0.25">
      <c r="A25" s="12" t="s">
        <v>136</v>
      </c>
      <c r="B25">
        <v>58</v>
      </c>
    </row>
    <row r="26" spans="1:2" x14ac:dyDescent="0.25">
      <c r="A26" s="12" t="s">
        <v>176</v>
      </c>
      <c r="B26">
        <v>57.5</v>
      </c>
    </row>
    <row r="27" spans="1:2" x14ac:dyDescent="0.25">
      <c r="A27" s="12" t="s">
        <v>184</v>
      </c>
      <c r="B27">
        <v>57.5</v>
      </c>
    </row>
    <row r="28" spans="1:2" x14ac:dyDescent="0.25">
      <c r="A28" s="12" t="s">
        <v>151</v>
      </c>
      <c r="B28">
        <v>57.5</v>
      </c>
    </row>
    <row r="29" spans="1:2" x14ac:dyDescent="0.25">
      <c r="A29" s="12" t="s">
        <v>177</v>
      </c>
      <c r="B29">
        <v>57.5</v>
      </c>
    </row>
    <row r="30" spans="1:2" x14ac:dyDescent="0.25">
      <c r="A30" s="12" t="s">
        <v>167</v>
      </c>
      <c r="B30">
        <v>57.5</v>
      </c>
    </row>
    <row r="31" spans="1:2" x14ac:dyDescent="0.25">
      <c r="A31" s="12" t="s">
        <v>197</v>
      </c>
      <c r="B31">
        <v>57</v>
      </c>
    </row>
    <row r="32" spans="1:2" x14ac:dyDescent="0.25">
      <c r="A32" s="12" t="s">
        <v>169</v>
      </c>
      <c r="B32">
        <v>57</v>
      </c>
    </row>
    <row r="33" spans="1:2" x14ac:dyDescent="0.25">
      <c r="A33" s="12" t="s">
        <v>196</v>
      </c>
      <c r="B33">
        <v>56</v>
      </c>
    </row>
    <row r="34" spans="1:2" x14ac:dyDescent="0.25">
      <c r="A34" s="12" t="s">
        <v>84</v>
      </c>
      <c r="B34">
        <v>56</v>
      </c>
    </row>
    <row r="35" spans="1:2" x14ac:dyDescent="0.25">
      <c r="A35" s="12" t="s">
        <v>171</v>
      </c>
      <c r="B35">
        <v>56</v>
      </c>
    </row>
    <row r="36" spans="1:2" x14ac:dyDescent="0.25">
      <c r="A36" s="12" t="s">
        <v>152</v>
      </c>
      <c r="B36">
        <v>56</v>
      </c>
    </row>
    <row r="37" spans="1:2" x14ac:dyDescent="0.25">
      <c r="A37" s="12" t="s">
        <v>155</v>
      </c>
      <c r="B37">
        <v>55</v>
      </c>
    </row>
    <row r="38" spans="1:2" x14ac:dyDescent="0.25">
      <c r="A38" s="12" t="s">
        <v>156</v>
      </c>
      <c r="B38">
        <v>54.5</v>
      </c>
    </row>
    <row r="39" spans="1:2" x14ac:dyDescent="0.25">
      <c r="A39" s="12" t="s">
        <v>162</v>
      </c>
      <c r="B39">
        <v>54</v>
      </c>
    </row>
    <row r="40" spans="1:2" x14ac:dyDescent="0.25">
      <c r="A40" s="12" t="s">
        <v>129</v>
      </c>
      <c r="B40">
        <v>54</v>
      </c>
    </row>
    <row r="41" spans="1:2" x14ac:dyDescent="0.25">
      <c r="A41" s="12" t="s">
        <v>188</v>
      </c>
      <c r="B41">
        <v>53.5</v>
      </c>
    </row>
    <row r="42" spans="1:2" x14ac:dyDescent="0.25">
      <c r="A42" s="12" t="s">
        <v>208</v>
      </c>
      <c r="B42">
        <v>53</v>
      </c>
    </row>
    <row r="43" spans="1:2" x14ac:dyDescent="0.25">
      <c r="A43" s="12" t="s">
        <v>180</v>
      </c>
      <c r="B43">
        <v>52.5</v>
      </c>
    </row>
    <row r="44" spans="1:2" x14ac:dyDescent="0.25">
      <c r="A44" s="12" t="s">
        <v>153</v>
      </c>
      <c r="B44">
        <v>52.5</v>
      </c>
    </row>
    <row r="45" spans="1:2" x14ac:dyDescent="0.25">
      <c r="A45" s="12" t="s">
        <v>174</v>
      </c>
      <c r="B45">
        <v>51</v>
      </c>
    </row>
    <row r="46" spans="1:2" x14ac:dyDescent="0.25">
      <c r="A46" s="12" t="s">
        <v>159</v>
      </c>
      <c r="B46">
        <v>51</v>
      </c>
    </row>
    <row r="47" spans="1:2" x14ac:dyDescent="0.25">
      <c r="A47" s="12" t="s">
        <v>206</v>
      </c>
      <c r="B47">
        <v>49.5</v>
      </c>
    </row>
    <row r="48" spans="1:2" x14ac:dyDescent="0.25">
      <c r="A48" s="12" t="s">
        <v>193</v>
      </c>
      <c r="B48">
        <v>49</v>
      </c>
    </row>
    <row r="49" spans="1:2" x14ac:dyDescent="0.25">
      <c r="A49" s="12" t="s">
        <v>139</v>
      </c>
      <c r="B49">
        <v>42</v>
      </c>
    </row>
    <row r="50" spans="1:2" x14ac:dyDescent="0.25">
      <c r="A50" s="12" t="s">
        <v>238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240</v>
      </c>
      <c r="C1" s="15" t="s">
        <v>241</v>
      </c>
    </row>
    <row r="2" spans="1:3" x14ac:dyDescent="0.25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239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127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130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131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119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2026-07-17T10:18:58Z</dcterms:modified>
</cp:coreProperties>
</file>