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4" documentId="8_{D6FD70C9-99B0-4E41-B641-325FE8B5924A}" xr6:coauthVersionLast="47" xr6:coauthVersionMax="47" xr10:uidLastSave="{2EAE9B1A-E519-9249-BCEF-B6A4C3014616}"/>
  <bookViews>
    <workbookView xWindow="-120" yWindow="-120" windowWidth="29040" windowHeight="15720" activeTab="1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  <definedName name="_xlnm._FilterDatabase" localSheetId="1" hidden="1">Porra!$A$1:$CF$49</definedName>
  </definedNames>
  <calcPr calcId="191028"/>
  <pivotCaches>
    <pivotCache cacheId="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C19" i="5" a="1"/>
  <c r="E18" i="1"/>
  <c r="C18" i="5" a="1"/>
  <c r="E17" i="1"/>
  <c r="C17" i="5" a="1"/>
  <c r="E16" i="1"/>
  <c r="E15" i="1"/>
  <c r="E14" i="1"/>
  <c r="E13" i="1"/>
  <c r="C13" i="5" a="1"/>
  <c r="E12" i="1"/>
  <c r="E11" i="1"/>
  <c r="C11" i="5" a="1"/>
  <c r="E10" i="1"/>
  <c r="E9" i="1"/>
  <c r="C9" i="5" a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6" i="5" a="1"/>
  <c r="C15" i="5" a="1"/>
  <c r="C14" i="5" a="1"/>
  <c r="C12" i="5" a="1"/>
  <c r="C10" i="5" a="1"/>
  <c r="C7" i="5" a="1"/>
  <c r="C6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X49" i="2"/>
  <c r="BY49" i="2"/>
  <c r="BZ49" i="2"/>
  <c r="CA49" i="2"/>
  <c r="CB49" i="2"/>
  <c r="CC49" i="2"/>
  <c r="CD49" i="2"/>
  <c r="CE49" i="2"/>
  <c r="CE42" i="2"/>
  <c r="CD42" i="2"/>
  <c r="CC42" i="2"/>
  <c r="CB42" i="2"/>
  <c r="CA42" i="2"/>
  <c r="BZ42" i="2"/>
  <c r="BY42" i="2"/>
  <c r="BX42" i="2"/>
  <c r="CE7" i="2"/>
  <c r="CD7" i="2"/>
  <c r="CC7" i="2"/>
  <c r="CB7" i="2"/>
  <c r="CA7" i="2"/>
  <c r="BZ7" i="2"/>
  <c r="BY7" i="2"/>
  <c r="BX7" i="2"/>
  <c r="CE48" i="2"/>
  <c r="CD48" i="2"/>
  <c r="CC48" i="2"/>
  <c r="CB48" i="2"/>
  <c r="CA48" i="2"/>
  <c r="BZ48" i="2"/>
  <c r="BY48" i="2"/>
  <c r="BX48" i="2"/>
  <c r="CE9" i="2"/>
  <c r="CD9" i="2"/>
  <c r="CC9" i="2"/>
  <c r="CB9" i="2"/>
  <c r="CA9" i="2"/>
  <c r="BZ9" i="2"/>
  <c r="BY9" i="2"/>
  <c r="BX9" i="2"/>
  <c r="CE19" i="2"/>
  <c r="CD19" i="2"/>
  <c r="CC19" i="2"/>
  <c r="CB19" i="2"/>
  <c r="CA19" i="2"/>
  <c r="BZ19" i="2"/>
  <c r="BY19" i="2"/>
  <c r="BX19" i="2"/>
  <c r="CE6" i="2"/>
  <c r="CD6" i="2"/>
  <c r="CC6" i="2"/>
  <c r="CB6" i="2"/>
  <c r="CA6" i="2"/>
  <c r="BZ6" i="2"/>
  <c r="BY6" i="2"/>
  <c r="BX6" i="2"/>
  <c r="CE21" i="2"/>
  <c r="CD21" i="2"/>
  <c r="CC21" i="2"/>
  <c r="CB21" i="2"/>
  <c r="CA21" i="2"/>
  <c r="BZ21" i="2"/>
  <c r="BY21" i="2"/>
  <c r="BX21" i="2"/>
  <c r="CE4" i="2"/>
  <c r="CD4" i="2"/>
  <c r="CC4" i="2"/>
  <c r="CB4" i="2"/>
  <c r="CA4" i="2"/>
  <c r="BZ4" i="2"/>
  <c r="BY4" i="2"/>
  <c r="BX4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44" i="2"/>
  <c r="CD44" i="2"/>
  <c r="CC44" i="2"/>
  <c r="CB44" i="2"/>
  <c r="CA44" i="2"/>
  <c r="BZ44" i="2"/>
  <c r="BY44" i="2"/>
  <c r="BX44" i="2"/>
  <c r="CE18" i="2"/>
  <c r="CD18" i="2"/>
  <c r="CC18" i="2"/>
  <c r="CB18" i="2"/>
  <c r="CA18" i="2"/>
  <c r="BZ18" i="2"/>
  <c r="BY18" i="2"/>
  <c r="BX18" i="2"/>
  <c r="CE43" i="2"/>
  <c r="CD43" i="2"/>
  <c r="CC43" i="2"/>
  <c r="CB43" i="2"/>
  <c r="CA43" i="2"/>
  <c r="BZ43" i="2"/>
  <c r="BY43" i="2"/>
  <c r="BX43" i="2"/>
  <c r="CE26" i="2"/>
  <c r="CD26" i="2"/>
  <c r="CC26" i="2"/>
  <c r="CB26" i="2"/>
  <c r="CA26" i="2"/>
  <c r="BZ26" i="2"/>
  <c r="BY26" i="2"/>
  <c r="BX26" i="2"/>
  <c r="CE17" i="2"/>
  <c r="CD17" i="2"/>
  <c r="CC17" i="2"/>
  <c r="CB17" i="2"/>
  <c r="CA17" i="2"/>
  <c r="BZ17" i="2"/>
  <c r="BY17" i="2"/>
  <c r="BX17" i="2"/>
  <c r="CE14" i="2"/>
  <c r="CD14" i="2"/>
  <c r="CC14" i="2"/>
  <c r="CB14" i="2"/>
  <c r="CA14" i="2"/>
  <c r="BZ14" i="2"/>
  <c r="BY14" i="2"/>
  <c r="BX14" i="2"/>
  <c r="CE25" i="2"/>
  <c r="CD25" i="2"/>
  <c r="CC25" i="2"/>
  <c r="CB25" i="2"/>
  <c r="CA25" i="2"/>
  <c r="BZ25" i="2"/>
  <c r="BY25" i="2"/>
  <c r="BX25" i="2"/>
  <c r="CE10" i="2"/>
  <c r="CD10" i="2"/>
  <c r="CC10" i="2"/>
  <c r="CB10" i="2"/>
  <c r="CA10" i="2"/>
  <c r="BZ10" i="2"/>
  <c r="BY10" i="2"/>
  <c r="BX10" i="2"/>
  <c r="CE12" i="2"/>
  <c r="CD12" i="2"/>
  <c r="CC12" i="2"/>
  <c r="CB12" i="2"/>
  <c r="CA12" i="2"/>
  <c r="BZ12" i="2"/>
  <c r="BY12" i="2"/>
  <c r="BX12" i="2"/>
  <c r="CE47" i="2"/>
  <c r="CD47" i="2"/>
  <c r="CC47" i="2"/>
  <c r="CB47" i="2"/>
  <c r="CA47" i="2"/>
  <c r="BZ47" i="2"/>
  <c r="BY47" i="2"/>
  <c r="BX47" i="2"/>
  <c r="CE24" i="2"/>
  <c r="CD24" i="2"/>
  <c r="CC24" i="2"/>
  <c r="CB24" i="2"/>
  <c r="CA24" i="2"/>
  <c r="BZ24" i="2"/>
  <c r="BY24" i="2"/>
  <c r="BX24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23" i="2"/>
  <c r="CD23" i="2"/>
  <c r="CC23" i="2"/>
  <c r="CB23" i="2"/>
  <c r="CA23" i="2"/>
  <c r="BZ23" i="2"/>
  <c r="BY23" i="2"/>
  <c r="BX23" i="2"/>
  <c r="CE46" i="2"/>
  <c r="CD46" i="2"/>
  <c r="CC46" i="2"/>
  <c r="CB46" i="2"/>
  <c r="CA46" i="2"/>
  <c r="BZ46" i="2"/>
  <c r="BY46" i="2"/>
  <c r="BX46" i="2"/>
  <c r="CE3" i="2"/>
  <c r="CD3" i="2"/>
  <c r="CC3" i="2"/>
  <c r="CB3" i="2"/>
  <c r="CA3" i="2"/>
  <c r="BZ3" i="2"/>
  <c r="BY3" i="2"/>
  <c r="BX3" i="2"/>
  <c r="CE41" i="2"/>
  <c r="CD41" i="2"/>
  <c r="CC41" i="2"/>
  <c r="CB41" i="2"/>
  <c r="CA41" i="2"/>
  <c r="BZ41" i="2"/>
  <c r="BY41" i="2"/>
  <c r="BX41" i="2"/>
  <c r="CE34" i="2"/>
  <c r="CD34" i="2"/>
  <c r="CC34" i="2"/>
  <c r="CB34" i="2"/>
  <c r="CA34" i="2"/>
  <c r="BZ34" i="2"/>
  <c r="BY34" i="2"/>
  <c r="BX34" i="2"/>
  <c r="CE13" i="2"/>
  <c r="CD13" i="2"/>
  <c r="CC13" i="2"/>
  <c r="CB13" i="2"/>
  <c r="CA13" i="2"/>
  <c r="BZ13" i="2"/>
  <c r="BY13" i="2"/>
  <c r="BX13" i="2"/>
  <c r="CE36" i="2"/>
  <c r="CD36" i="2"/>
  <c r="CC36" i="2"/>
  <c r="CB36" i="2"/>
  <c r="CA36" i="2"/>
  <c r="BZ36" i="2"/>
  <c r="BY36" i="2"/>
  <c r="BX36" i="2"/>
  <c r="CE33" i="2"/>
  <c r="CD33" i="2"/>
  <c r="CC33" i="2"/>
  <c r="CB33" i="2"/>
  <c r="CA33" i="2"/>
  <c r="BZ33" i="2"/>
  <c r="BY33" i="2"/>
  <c r="BX33" i="2"/>
  <c r="CE40" i="2"/>
  <c r="CD40" i="2"/>
  <c r="CC40" i="2"/>
  <c r="CB40" i="2"/>
  <c r="CA40" i="2"/>
  <c r="BZ40" i="2"/>
  <c r="BY40" i="2"/>
  <c r="BX40" i="2"/>
  <c r="CE37" i="2"/>
  <c r="CD37" i="2"/>
  <c r="CC37" i="2"/>
  <c r="CB37" i="2"/>
  <c r="CA37" i="2"/>
  <c r="BZ37" i="2"/>
  <c r="BY37" i="2"/>
  <c r="BX37" i="2"/>
  <c r="CE29" i="2"/>
  <c r="CD29" i="2"/>
  <c r="CC29" i="2"/>
  <c r="CB29" i="2"/>
  <c r="CA29" i="2"/>
  <c r="BZ29" i="2"/>
  <c r="BY29" i="2"/>
  <c r="BX29" i="2"/>
  <c r="CE16" i="2"/>
  <c r="CD16" i="2"/>
  <c r="CC16" i="2"/>
  <c r="CB16" i="2"/>
  <c r="CA16" i="2"/>
  <c r="BZ16" i="2"/>
  <c r="BY16" i="2"/>
  <c r="BX16" i="2"/>
  <c r="CE32" i="2"/>
  <c r="CD32" i="2"/>
  <c r="CC32" i="2"/>
  <c r="CB32" i="2"/>
  <c r="CA32" i="2"/>
  <c r="BZ32" i="2"/>
  <c r="BY32" i="2"/>
  <c r="BX32" i="2"/>
  <c r="CE20" i="2"/>
  <c r="CD20" i="2"/>
  <c r="CC20" i="2"/>
  <c r="CB20" i="2"/>
  <c r="CA20" i="2"/>
  <c r="BZ20" i="2"/>
  <c r="BY20" i="2"/>
  <c r="BX20" i="2"/>
  <c r="CE35" i="2"/>
  <c r="CD35" i="2"/>
  <c r="CC35" i="2"/>
  <c r="CB35" i="2"/>
  <c r="CA35" i="2"/>
  <c r="BZ35" i="2"/>
  <c r="BY35" i="2"/>
  <c r="BX35" i="2"/>
  <c r="CE22" i="2"/>
  <c r="CD22" i="2"/>
  <c r="CC22" i="2"/>
  <c r="CB22" i="2"/>
  <c r="CA22" i="2"/>
  <c r="BZ22" i="2"/>
  <c r="BY22" i="2"/>
  <c r="BX22" i="2"/>
  <c r="CE5" i="2"/>
  <c r="CD5" i="2"/>
  <c r="CC5" i="2"/>
  <c r="CB5" i="2"/>
  <c r="CA5" i="2"/>
  <c r="BZ5" i="2"/>
  <c r="BY5" i="2"/>
  <c r="BX5" i="2"/>
  <c r="CE28" i="2"/>
  <c r="CD28" i="2"/>
  <c r="CC28" i="2"/>
  <c r="CB28" i="2"/>
  <c r="CA28" i="2"/>
  <c r="BZ28" i="2"/>
  <c r="BY28" i="2"/>
  <c r="BX28" i="2"/>
  <c r="CE11" i="2"/>
  <c r="CD11" i="2"/>
  <c r="CC11" i="2"/>
  <c r="CB11" i="2"/>
  <c r="CA11" i="2"/>
  <c r="BZ11" i="2"/>
  <c r="BY11" i="2"/>
  <c r="BX11" i="2"/>
  <c r="CE15" i="2"/>
  <c r="CD15" i="2"/>
  <c r="CC15" i="2"/>
  <c r="CB15" i="2"/>
  <c r="CA15" i="2"/>
  <c r="BZ15" i="2"/>
  <c r="BY15" i="2"/>
  <c r="BX15" i="2"/>
  <c r="CE2" i="2"/>
  <c r="CD2" i="2"/>
  <c r="CC2" i="2"/>
  <c r="CB2" i="2"/>
  <c r="CA2" i="2"/>
  <c r="BZ2" i="2"/>
  <c r="BY2" i="2"/>
  <c r="BX2" i="2"/>
  <c r="CE45" i="2"/>
  <c r="CD45" i="2"/>
  <c r="CC45" i="2"/>
  <c r="CB45" i="2"/>
  <c r="CA45" i="2"/>
  <c r="BZ45" i="2"/>
  <c r="BY45" i="2"/>
  <c r="BX45" i="2"/>
  <c r="CE8" i="2"/>
  <c r="CD8" i="2"/>
  <c r="CC8" i="2"/>
  <c r="CB8" i="2"/>
  <c r="CA8" i="2"/>
  <c r="BZ8" i="2"/>
  <c r="BY8" i="2"/>
  <c r="BX8" i="2"/>
  <c r="CE27" i="2"/>
  <c r="CD27" i="2"/>
  <c r="CC27" i="2"/>
  <c r="CB27" i="2"/>
  <c r="CA27" i="2"/>
  <c r="BZ27" i="2"/>
  <c r="BY27" i="2"/>
  <c r="BX27" i="2"/>
  <c r="BV45" i="2"/>
  <c r="BV25" i="2"/>
  <c r="BU11" i="2"/>
  <c r="BU13" i="2"/>
  <c r="BW34" i="2"/>
  <c r="BW12" i="2"/>
  <c r="BW33" i="2"/>
  <c r="BW9" i="2"/>
  <c r="BU12" i="2"/>
  <c r="BU16" i="2"/>
  <c r="BW42" i="2"/>
  <c r="BV5" i="2"/>
  <c r="BU23" i="2"/>
  <c r="BW14" i="2"/>
  <c r="BV24" i="2"/>
  <c r="BW36" i="2"/>
  <c r="BV48" i="2"/>
  <c r="BU18" i="2"/>
  <c r="BW11" i="2"/>
  <c r="BV12" i="2"/>
  <c r="BV9" i="2"/>
  <c r="BU29" i="2"/>
  <c r="BW8" i="2"/>
  <c r="BU7" i="2"/>
  <c r="BW6" i="2"/>
  <c r="BU6" i="2"/>
  <c r="C8" i="5" a="1"/>
  <c r="BU44" i="2"/>
  <c r="BV32" i="2"/>
  <c r="BV31" i="2"/>
  <c r="BW7" i="2"/>
  <c r="BV39" i="2"/>
  <c r="BW3" i="2"/>
  <c r="BW40" i="2"/>
  <c r="BW25" i="2"/>
  <c r="BV21" i="2"/>
  <c r="BW23" i="2"/>
  <c r="BU3" i="2"/>
  <c r="BV44" i="2"/>
  <c r="BU28" i="2"/>
  <c r="BU5" i="2"/>
  <c r="BV8" i="2"/>
  <c r="BU30" i="2"/>
  <c r="BU42" i="2"/>
  <c r="BW2" i="2"/>
  <c r="BV16" i="2"/>
  <c r="BV2" i="2"/>
  <c r="BU39" i="2"/>
  <c r="BW48" i="2"/>
  <c r="BV35" i="2"/>
  <c r="BV42" i="2"/>
  <c r="BU2" i="2"/>
  <c r="BW47" i="2"/>
  <c r="BW4" i="2"/>
  <c r="BV7" i="2"/>
  <c r="BW26" i="2"/>
  <c r="BV6" i="2"/>
  <c r="BU47" i="2"/>
  <c r="BW39" i="2"/>
  <c r="BW28" i="2"/>
  <c r="BV29" i="2"/>
  <c r="BW15" i="2"/>
  <c r="BU21" i="2"/>
  <c r="BV10" i="2"/>
  <c r="BU38" i="2"/>
  <c r="BW30" i="2"/>
  <c r="BV17" i="2"/>
  <c r="BV22" i="2"/>
  <c r="BU33" i="2"/>
  <c r="BU14" i="2"/>
  <c r="BU20" i="2"/>
  <c r="BU10" i="2"/>
  <c r="BW44" i="2"/>
  <c r="BW13" i="2"/>
  <c r="BW43" i="2"/>
  <c r="BW41" i="2"/>
  <c r="BU37" i="2"/>
  <c r="BU45" i="2"/>
  <c r="BU15" i="2"/>
  <c r="C5" i="5" a="1"/>
  <c r="BV18" i="2"/>
  <c r="BU9" i="2"/>
  <c r="BV43" i="2"/>
  <c r="BW31" i="2"/>
  <c r="BV14" i="2"/>
  <c r="BV37" i="2"/>
  <c r="BU25" i="2"/>
  <c r="BW16" i="2"/>
  <c r="BW32" i="2"/>
  <c r="BU26" i="2"/>
  <c r="BV28" i="2"/>
  <c r="BV41" i="2"/>
  <c r="BU24" i="2"/>
  <c r="BV20" i="2"/>
  <c r="BV34" i="2"/>
  <c r="BW22" i="2"/>
  <c r="BV11" i="2"/>
  <c r="BV3" i="2"/>
  <c r="BW38" i="2"/>
  <c r="BV49" i="2"/>
  <c r="BU40" i="2"/>
  <c r="BW46" i="2"/>
  <c r="BU48" i="2"/>
  <c r="BU32" i="2"/>
  <c r="BV15" i="2"/>
  <c r="BW45" i="2"/>
  <c r="BU35" i="2"/>
  <c r="BU34" i="2"/>
  <c r="BU49" i="2"/>
  <c r="BV36" i="2"/>
  <c r="BV38" i="2"/>
  <c r="BW5" i="2"/>
  <c r="BW18" i="2"/>
  <c r="BV19" i="2"/>
  <c r="BV26" i="2"/>
  <c r="BU27" i="2"/>
  <c r="BV4" i="2"/>
  <c r="BW20" i="2"/>
  <c r="BW37" i="2"/>
  <c r="BU31" i="2"/>
  <c r="BW17" i="2"/>
  <c r="BU17" i="2"/>
  <c r="BV30" i="2"/>
  <c r="BU8" i="2"/>
  <c r="BV27" i="2"/>
  <c r="BW10" i="2"/>
  <c r="BU41" i="2"/>
  <c r="BU4" i="2"/>
  <c r="BW21" i="2"/>
  <c r="BV46" i="2"/>
  <c r="BV40" i="2"/>
  <c r="BV33" i="2"/>
  <c r="BU19" i="2"/>
  <c r="BU36" i="2"/>
  <c r="BW35" i="2"/>
  <c r="BW24" i="2"/>
  <c r="BU46" i="2"/>
  <c r="C4" i="5" a="1"/>
  <c r="BW29" i="2"/>
  <c r="BW27" i="2"/>
  <c r="BW49" i="2"/>
  <c r="BV47" i="2"/>
  <c r="BW19" i="2"/>
  <c r="BV23" i="2"/>
  <c r="BV13" i="2"/>
  <c r="BU22" i="2"/>
  <c r="BU43" i="2"/>
  <c r="CF25" i="2"/>
  <c r="CF12" i="2"/>
  <c r="CF23" i="2"/>
  <c r="CF11" i="2"/>
  <c r="CF43" i="2"/>
  <c r="CF8" i="2"/>
  <c r="CF33" i="2"/>
  <c r="CF44" i="2"/>
  <c r="CF6" i="2"/>
  <c r="CF3" i="2"/>
  <c r="CF34" i="2"/>
  <c r="CF17" i="2"/>
  <c r="CF2" i="2"/>
  <c r="CF7" i="2"/>
  <c r="CF14" i="2"/>
  <c r="CF30" i="2"/>
  <c r="CF36" i="2"/>
  <c r="CF41" i="2"/>
  <c r="CF9" i="2"/>
  <c r="CF37" i="2"/>
  <c r="CF20" i="2"/>
  <c r="CF32" i="2"/>
  <c r="CF31" i="2"/>
  <c r="CF18" i="2"/>
  <c r="CF49" i="2"/>
  <c r="CF29" i="2"/>
  <c r="CF15" i="2"/>
  <c r="CF38" i="2"/>
  <c r="CF42" i="2"/>
  <c r="CF10" i="2"/>
  <c r="CF28" i="2"/>
  <c r="CF13" i="2"/>
  <c r="CF4" i="2"/>
  <c r="CF26" i="2"/>
  <c r="CF39" i="2"/>
  <c r="CF5" i="2"/>
  <c r="CF40" i="2"/>
  <c r="CF48" i="2"/>
  <c r="CF45" i="2"/>
  <c r="CF16" i="2"/>
  <c r="CF47" i="2"/>
  <c r="CF35" i="2"/>
  <c r="CF19" i="2"/>
  <c r="CF22" i="2"/>
  <c r="CF21" i="2"/>
  <c r="CF27" i="2"/>
  <c r="CF46" i="2"/>
  <c r="CF2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<sst xmlns="http://schemas.openxmlformats.org/spreadsheetml/2006/main" count="3780" uniqueCount="249">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</sst>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10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sheetMetadata" Target="metadata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B2" workbookViewId="0">
      <selection activeCell="C26" sqref="C26"/>
    </sheetView>
  </sheetViews>
  <sheetFormatPr defaultColWidth="9.14453125" defaultRowHeight="15" x14ac:dyDescent="0.2"/>
  <cols>
    <col min="1" max="1" width="6.9921875" bestFit="1" customWidth="1"/>
    <col min="2" max="2" width="8.47265625" bestFit="1" customWidth="1"/>
    <col min="3" max="3" width="19.37109375" bestFit="1" customWidth="1"/>
    <col min="5" max="5" width="15.19921875" bestFit="1" customWidth="1"/>
    <col min="6" max="8" width="8.609375" bestFit="1" customWidth="1"/>
    <col min="9" max="9" width="10.76171875" bestFit="1" customWidth="1"/>
    <col min="10" max="11" width="8.609375" bestFit="1" customWidth="1"/>
    <col min="12" max="12" width="14.796875" bestFit="1" customWidth="1"/>
    <col min="13" max="13" width="9.953125" customWidth="1"/>
    <col min="14" max="14" width="22.59765625" bestFit="1" customWidth="1"/>
    <col min="15" max="15" width="10.22265625" bestFit="1" customWidth="1"/>
    <col min="18" max="18" width="9.01171875" bestFit="1" customWidth="1"/>
    <col min="19" max="19" width="9.68359375" bestFit="1" customWidth="1"/>
    <col min="20" max="20" width="15.6015625" bestFit="1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">
      <c r="A3" s="2" t="s">
        <v>227</v>
      </c>
      <c r="B3" s="2" t="s">
        <v>230</v>
      </c>
      <c r="C3" s="3" t="s">
        <v>98</v>
      </c>
      <c r="E3" s="14" t="str">
        <f>+C3</f>
        <v>Corea del Sud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">
      <c r="A4" s="2" t="s">
        <v>227</v>
      </c>
      <c r="B4" s="2" t="s">
        <v>231</v>
      </c>
      <c r="C4" s="16" t="s">
        <v>110</v>
      </c>
      <c r="E4" s="14" t="str">
        <f>+C5</f>
        <v>Canadà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">
      <c r="A5" s="2" t="s">
        <v>232</v>
      </c>
      <c r="B5" s="2" t="s">
        <v>228</v>
      </c>
      <c r="C5" s="3" t="s">
        <v>99</v>
      </c>
      <c r="E5" s="14" t="str">
        <f>+C6</f>
        <v>Suïssa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">
      <c r="A6" s="2" t="s">
        <v>232</v>
      </c>
      <c r="B6" s="2" t="s">
        <v>230</v>
      </c>
      <c r="C6" s="3" t="s">
        <v>87</v>
      </c>
      <c r="E6" s="14" t="str">
        <f>+C8</f>
        <v>Brasil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">
      <c r="A7" s="2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">
      <c r="A10" s="2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">
      <c r="A13" s="2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">
      <c r="A16" s="2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">
      <c r="A18" s="2" t="s">
        <v>236</v>
      </c>
      <c r="B18" s="2" t="s">
        <v>230</v>
      </c>
      <c r="C18" s="3" t="s">
        <v>115</v>
      </c>
      <c r="E18" s="14" t="str">
        <f>+C26</f>
        <v>Alemanya</v>
      </c>
    </row>
    <row r="19" spans="1:6" x14ac:dyDescent="0.2">
      <c r="A19" s="2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tr">
        <f>+C33</f>
        <v>RD Congo</v>
      </c>
    </row>
    <row r="24" spans="1:6" x14ac:dyDescent="0.2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">
      <c r="A26" s="2" t="s">
        <v>239</v>
      </c>
      <c r="B26" s="2" t="s">
        <v>228</v>
      </c>
      <c r="C26" s="3" t="s">
        <v>90</v>
      </c>
      <c r="E26" s="10" t="s">
        <v>103</v>
      </c>
      <c r="F26" s="3"/>
    </row>
    <row r="27" spans="1:6" x14ac:dyDescent="0.2">
      <c r="A27" s="2" t="s">
        <v>239</v>
      </c>
      <c r="B27" s="2" t="s">
        <v>230</v>
      </c>
      <c r="C27" s="3" t="s">
        <v>118</v>
      </c>
      <c r="E27" s="10" t="s">
        <v>112</v>
      </c>
    </row>
    <row r="28" spans="1:6" x14ac:dyDescent="0.2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">
      <c r="A31" s="2" t="s">
        <v>240</v>
      </c>
      <c r="B31" s="2" t="s">
        <v>231</v>
      </c>
      <c r="C31" s="17" t="s">
        <v>119</v>
      </c>
      <c r="E31" s="10" t="s">
        <v>96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">
      <c r="A34" s="2" t="s">
        <v>241</v>
      </c>
      <c r="B34" s="2" t="s">
        <v>231</v>
      </c>
      <c r="C34" s="16" t="s">
        <v>96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16" t="s">
        <v>145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33" xr:uid="{E4A41900-CC37-48F7-B004-B74485AD8A27}">
      <formula1>$C$2:$C$37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135</v>
      </c>
      <c r="B2" t="s">
        <v>136</v>
      </c>
      <c r="C2" t="s">
        <v>86</v>
      </c>
      <c r="D2" t="s">
        <v>99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87</v>
      </c>
      <c r="Q2" t="s">
        <v>100</v>
      </c>
      <c r="R2" t="s">
        <v>101</v>
      </c>
      <c r="S2" t="s">
        <v>114</v>
      </c>
      <c r="T2" t="s">
        <v>115</v>
      </c>
      <c r="U2" t="s">
        <v>104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126</v>
      </c>
      <c r="AC2" t="s">
        <v>112</v>
      </c>
      <c r="AD2" t="s">
        <v>127</v>
      </c>
      <c r="AE2" t="s">
        <v>102</v>
      </c>
      <c r="AF2" t="s">
        <v>103</v>
      </c>
      <c r="AG2" t="s">
        <v>116</v>
      </c>
      <c r="AH2" t="s">
        <v>117</v>
      </c>
      <c r="AI2" t="s">
        <v>106</v>
      </c>
      <c r="AJ2" t="s">
        <v>119</v>
      </c>
      <c r="AK2" t="s">
        <v>120</v>
      </c>
      <c r="AL2" t="s">
        <v>121</v>
      </c>
      <c r="AM2" t="s">
        <v>94</v>
      </c>
      <c r="AN2" t="s">
        <v>95</v>
      </c>
      <c r="AO2" t="s">
        <v>88</v>
      </c>
      <c r="AP2" t="s">
        <v>97</v>
      </c>
      <c r="AQ2" t="s">
        <v>93</v>
      </c>
      <c r="AR2" t="s">
        <v>90</v>
      </c>
      <c r="AS2" t="s">
        <v>96</v>
      </c>
      <c r="AT2" t="s">
        <v>91</v>
      </c>
      <c r="AU2" t="s">
        <v>89</v>
      </c>
      <c r="AV2" t="s">
        <v>86</v>
      </c>
      <c r="AW2" t="s">
        <v>105</v>
      </c>
      <c r="AX2" t="s">
        <v>100</v>
      </c>
      <c r="AY2" t="s">
        <v>109</v>
      </c>
      <c r="AZ2" t="s">
        <v>115</v>
      </c>
      <c r="BA2" t="s">
        <v>108</v>
      </c>
      <c r="BB2" t="s">
        <v>87</v>
      </c>
      <c r="BC2" t="s">
        <v>94</v>
      </c>
      <c r="BD2" t="s">
        <v>95</v>
      </c>
      <c r="BE2" t="s">
        <v>88</v>
      </c>
      <c r="BF2" t="s">
        <v>97</v>
      </c>
      <c r="BG2" t="s">
        <v>93</v>
      </c>
      <c r="BH2" t="s">
        <v>90</v>
      </c>
      <c r="BI2" t="s">
        <v>96</v>
      </c>
      <c r="BJ2" t="s">
        <v>91</v>
      </c>
      <c r="BK2" t="s">
        <v>94</v>
      </c>
      <c r="BL2" t="s">
        <v>95</v>
      </c>
      <c r="BM2" t="s">
        <v>93</v>
      </c>
      <c r="BN2" t="s">
        <v>88</v>
      </c>
      <c r="BO2" t="s">
        <v>94</v>
      </c>
      <c r="BP2" t="s">
        <v>93</v>
      </c>
      <c r="BQ2" t="s">
        <v>93</v>
      </c>
      <c r="BS2" t="s">
        <v>122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20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18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>SUM(BU2:CE2)</f>
        <v>54</v>
      </c>
    </row>
    <row r="3" spans="1:84" x14ac:dyDescent="0.2">
      <c r="A3" t="s">
        <v>174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103</v>
      </c>
      <c r="AG3" t="s">
        <v>104</v>
      </c>
      <c r="AH3" t="s">
        <v>143</v>
      </c>
      <c r="AI3" t="s">
        <v>106</v>
      </c>
      <c r="AJ3" t="s">
        <v>119</v>
      </c>
      <c r="AK3" t="s">
        <v>120</v>
      </c>
      <c r="AL3" t="s">
        <v>121</v>
      </c>
      <c r="AM3" t="s">
        <v>90</v>
      </c>
      <c r="AN3" t="s">
        <v>94</v>
      </c>
      <c r="AO3" t="s">
        <v>98</v>
      </c>
      <c r="AP3" t="s">
        <v>91</v>
      </c>
      <c r="AQ3" t="s">
        <v>108</v>
      </c>
      <c r="AR3" t="s">
        <v>93</v>
      </c>
      <c r="AS3" t="s">
        <v>89</v>
      </c>
      <c r="AT3" t="s">
        <v>92</v>
      </c>
      <c r="AU3" t="s">
        <v>88</v>
      </c>
      <c r="AV3" t="s">
        <v>102</v>
      </c>
      <c r="AW3" t="s">
        <v>86</v>
      </c>
      <c r="AX3" t="s">
        <v>97</v>
      </c>
      <c r="AY3" t="s">
        <v>95</v>
      </c>
      <c r="AZ3" t="s">
        <v>101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92</v>
      </c>
      <c r="BG3" t="s">
        <v>88</v>
      </c>
      <c r="BH3" t="s">
        <v>97</v>
      </c>
      <c r="BI3" t="s">
        <v>95</v>
      </c>
      <c r="BJ3" t="s">
        <v>96</v>
      </c>
      <c r="BK3" t="s">
        <v>94</v>
      </c>
      <c r="BL3" t="s">
        <v>93</v>
      </c>
      <c r="BM3" t="s">
        <v>88</v>
      </c>
      <c r="BN3" t="s">
        <v>95</v>
      </c>
      <c r="BO3" t="s">
        <v>94</v>
      </c>
      <c r="BP3" t="s">
        <v>95</v>
      </c>
      <c r="BQ3" t="s">
        <v>95</v>
      </c>
      <c r="BS3" t="s">
        <v>158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19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17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14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>SUM(BU3:CE3)</f>
        <v>54</v>
      </c>
    </row>
    <row r="4" spans="1:84" x14ac:dyDescent="0.2">
      <c r="A4" t="s">
        <v>205</v>
      </c>
      <c r="B4" t="s">
        <v>85</v>
      </c>
      <c r="C4" t="s">
        <v>86</v>
      </c>
      <c r="D4" t="s">
        <v>99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87</v>
      </c>
      <c r="Q4" t="s">
        <v>100</v>
      </c>
      <c r="R4" t="s">
        <v>101</v>
      </c>
      <c r="S4" t="s">
        <v>114</v>
      </c>
      <c r="T4" t="s">
        <v>115</v>
      </c>
      <c r="U4" t="s">
        <v>116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102</v>
      </c>
      <c r="AF4" t="s">
        <v>103</v>
      </c>
      <c r="AG4" t="s">
        <v>104</v>
      </c>
      <c r="AH4" t="s">
        <v>117</v>
      </c>
      <c r="AI4" t="s">
        <v>118</v>
      </c>
      <c r="AJ4" t="s">
        <v>119</v>
      </c>
      <c r="AK4" t="s">
        <v>128</v>
      </c>
      <c r="AL4" t="s">
        <v>121</v>
      </c>
      <c r="AM4" t="s">
        <v>86</v>
      </c>
      <c r="AN4" t="s">
        <v>99</v>
      </c>
      <c r="AO4" t="s">
        <v>88</v>
      </c>
      <c r="AP4" t="s">
        <v>89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96</v>
      </c>
      <c r="AX4" t="s">
        <v>97</v>
      </c>
      <c r="AY4" t="s">
        <v>98</v>
      </c>
      <c r="AZ4" t="s">
        <v>87</v>
      </c>
      <c r="BA4" t="s">
        <v>105</v>
      </c>
      <c r="BB4" t="s">
        <v>109</v>
      </c>
      <c r="BC4" t="s">
        <v>93</v>
      </c>
      <c r="BD4" t="s">
        <v>94</v>
      </c>
      <c r="BE4" t="s">
        <v>95</v>
      </c>
      <c r="BF4" t="s">
        <v>88</v>
      </c>
      <c r="BG4" t="s">
        <v>97</v>
      </c>
      <c r="BH4" t="s">
        <v>96</v>
      </c>
      <c r="BI4" t="s">
        <v>90</v>
      </c>
      <c r="BJ4" t="s">
        <v>91</v>
      </c>
      <c r="BK4" t="s">
        <v>93</v>
      </c>
      <c r="BL4" t="s">
        <v>94</v>
      </c>
      <c r="BM4" t="s">
        <v>95</v>
      </c>
      <c r="BN4" t="s">
        <v>88</v>
      </c>
      <c r="BO4" t="s">
        <v>93</v>
      </c>
      <c r="BP4" t="s">
        <v>95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17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>SUM(BU4:CE4)</f>
        <v>52.5</v>
      </c>
    </row>
    <row r="5" spans="1:84" x14ac:dyDescent="0.2">
      <c r="A5" t="s">
        <v>150</v>
      </c>
      <c r="B5" t="s">
        <v>136</v>
      </c>
      <c r="C5" t="s">
        <v>86</v>
      </c>
      <c r="D5" t="s">
        <v>99</v>
      </c>
      <c r="E5" t="s">
        <v>88</v>
      </c>
      <c r="F5" t="s">
        <v>101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110</v>
      </c>
      <c r="P5" t="s">
        <v>111</v>
      </c>
      <c r="Q5" t="s">
        <v>100</v>
      </c>
      <c r="R5" t="s">
        <v>89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98</v>
      </c>
      <c r="AB5" t="s">
        <v>87</v>
      </c>
      <c r="AC5" t="s">
        <v>112</v>
      </c>
      <c r="AD5" t="s">
        <v>113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128</v>
      </c>
      <c r="AL5" t="s">
        <v>121</v>
      </c>
      <c r="AM5" t="s">
        <v>90</v>
      </c>
      <c r="AN5" t="s">
        <v>94</v>
      </c>
      <c r="AO5" t="s">
        <v>110</v>
      </c>
      <c r="AP5" t="s">
        <v>91</v>
      </c>
      <c r="AQ5" t="s">
        <v>109</v>
      </c>
      <c r="AR5" t="s">
        <v>93</v>
      </c>
      <c r="AS5" t="s">
        <v>87</v>
      </c>
      <c r="AT5" t="s">
        <v>106</v>
      </c>
      <c r="AU5" t="s">
        <v>88</v>
      </c>
      <c r="AV5" t="s">
        <v>118</v>
      </c>
      <c r="AW5" t="s">
        <v>102</v>
      </c>
      <c r="AX5" t="s">
        <v>97</v>
      </c>
      <c r="AY5" t="s">
        <v>95</v>
      </c>
      <c r="AZ5" t="s">
        <v>104</v>
      </c>
      <c r="BA5" t="s">
        <v>99</v>
      </c>
      <c r="BB5" t="s">
        <v>96</v>
      </c>
      <c r="BC5" t="s">
        <v>94</v>
      </c>
      <c r="BD5" t="s">
        <v>91</v>
      </c>
      <c r="BE5" t="s">
        <v>93</v>
      </c>
      <c r="BF5" t="s">
        <v>106</v>
      </c>
      <c r="BG5" t="s">
        <v>88</v>
      </c>
      <c r="BH5" t="s">
        <v>97</v>
      </c>
      <c r="BI5" t="s">
        <v>95</v>
      </c>
      <c r="BJ5" t="s">
        <v>96</v>
      </c>
      <c r="BK5" t="s">
        <v>94</v>
      </c>
      <c r="BL5" t="s">
        <v>93</v>
      </c>
      <c r="BM5" t="s">
        <v>88</v>
      </c>
      <c r="BN5" t="s">
        <v>95</v>
      </c>
      <c r="BO5" t="s">
        <v>93</v>
      </c>
      <c r="BP5" t="s">
        <v>95</v>
      </c>
      <c r="BQ5" t="s">
        <v>93</v>
      </c>
      <c r="BS5" t="s">
        <v>151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18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>SUM(BU5:CE5)</f>
        <v>52</v>
      </c>
    </row>
    <row r="6" spans="1:84" x14ac:dyDescent="0.2">
      <c r="A6" t="s">
        <v>208</v>
      </c>
      <c r="B6" t="s">
        <v>164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108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114</v>
      </c>
      <c r="T6" t="s">
        <v>103</v>
      </c>
      <c r="U6" t="s">
        <v>104</v>
      </c>
      <c r="V6" t="s">
        <v>105</v>
      </c>
      <c r="W6" t="s">
        <v>106</v>
      </c>
      <c r="X6" t="s">
        <v>107</v>
      </c>
      <c r="Y6" t="s">
        <v>96</v>
      </c>
      <c r="Z6" t="s">
        <v>109</v>
      </c>
      <c r="AA6" t="s">
        <v>110</v>
      </c>
      <c r="AB6" t="s">
        <v>126</v>
      </c>
      <c r="AC6" t="s">
        <v>112</v>
      </c>
      <c r="AD6" t="s">
        <v>113</v>
      </c>
      <c r="AE6" t="s">
        <v>102</v>
      </c>
      <c r="AF6" t="s">
        <v>115</v>
      </c>
      <c r="AG6" t="s">
        <v>116</v>
      </c>
      <c r="AH6" t="s">
        <v>143</v>
      </c>
      <c r="AI6" t="s">
        <v>118</v>
      </c>
      <c r="AJ6" t="s">
        <v>144</v>
      </c>
      <c r="AK6" t="s">
        <v>128</v>
      </c>
      <c r="AL6" t="s">
        <v>145</v>
      </c>
      <c r="AM6" t="s">
        <v>94</v>
      </c>
      <c r="AN6" t="s">
        <v>93</v>
      </c>
      <c r="AO6" t="s">
        <v>97</v>
      </c>
      <c r="AP6" t="s">
        <v>96</v>
      </c>
      <c r="AQ6" t="s">
        <v>90</v>
      </c>
      <c r="AR6" t="s">
        <v>88</v>
      </c>
      <c r="AS6" t="s">
        <v>95</v>
      </c>
      <c r="AT6" t="s">
        <v>92</v>
      </c>
      <c r="AU6" t="s">
        <v>108</v>
      </c>
      <c r="AV6" t="s">
        <v>91</v>
      </c>
      <c r="AW6" t="s">
        <v>87</v>
      </c>
      <c r="AX6" t="s">
        <v>100</v>
      </c>
      <c r="AY6" t="s">
        <v>108</v>
      </c>
      <c r="AZ6" t="s">
        <v>99</v>
      </c>
      <c r="BA6" t="s">
        <v>118</v>
      </c>
      <c r="BB6" t="s">
        <v>101</v>
      </c>
      <c r="BC6" t="s">
        <v>93</v>
      </c>
      <c r="BD6" t="s">
        <v>94</v>
      </c>
      <c r="BE6" t="s">
        <v>95</v>
      </c>
      <c r="BF6" t="s">
        <v>97</v>
      </c>
      <c r="BG6" t="s">
        <v>88</v>
      </c>
      <c r="BH6" t="s">
        <v>96</v>
      </c>
      <c r="BI6" t="s">
        <v>100</v>
      </c>
      <c r="BJ6" t="s">
        <v>91</v>
      </c>
      <c r="BK6" t="s">
        <v>95</v>
      </c>
      <c r="BL6" t="s">
        <v>91</v>
      </c>
      <c r="BM6" t="s">
        <v>93</v>
      </c>
      <c r="BN6" t="s">
        <v>88</v>
      </c>
      <c r="BO6" t="s">
        <v>95</v>
      </c>
      <c r="BP6" t="s">
        <v>91</v>
      </c>
      <c r="BQ6" t="s">
        <v>95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18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14.5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>SUM(BU6:CE6)</f>
        <v>51.5</v>
      </c>
    </row>
    <row r="7" spans="1:84" ht="15.75" customHeight="1" x14ac:dyDescent="0.2">
      <c r="A7" t="s">
        <v>214</v>
      </c>
      <c r="B7" t="s">
        <v>136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115</v>
      </c>
      <c r="U7" t="s">
        <v>116</v>
      </c>
      <c r="V7" t="s">
        <v>105</v>
      </c>
      <c r="W7" t="s">
        <v>118</v>
      </c>
      <c r="X7" t="s">
        <v>119</v>
      </c>
      <c r="Y7" t="s">
        <v>96</v>
      </c>
      <c r="Z7" t="s">
        <v>121</v>
      </c>
      <c r="AA7" t="s">
        <v>131</v>
      </c>
      <c r="AB7" t="s">
        <v>111</v>
      </c>
      <c r="AC7" t="s">
        <v>112</v>
      </c>
      <c r="AD7" t="s">
        <v>113</v>
      </c>
      <c r="AE7" t="s">
        <v>114</v>
      </c>
      <c r="AF7" t="s">
        <v>103</v>
      </c>
      <c r="AG7" t="s">
        <v>104</v>
      </c>
      <c r="AH7" t="s">
        <v>117</v>
      </c>
      <c r="AI7" t="s">
        <v>106</v>
      </c>
      <c r="AJ7" t="s">
        <v>107</v>
      </c>
      <c r="AK7" t="s">
        <v>128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118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19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18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10.5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>SUM(BU7:CE7)</f>
        <v>51.5</v>
      </c>
    </row>
    <row r="8" spans="1:84" x14ac:dyDescent="0.2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19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16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11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>SUM(BU8:CE8)</f>
        <v>50</v>
      </c>
    </row>
    <row r="9" spans="1:84" x14ac:dyDescent="0.2">
      <c r="A9" t="s">
        <v>210</v>
      </c>
      <c r="B9" t="s">
        <v>85</v>
      </c>
      <c r="C9" t="s">
        <v>86</v>
      </c>
      <c r="D9" t="s">
        <v>87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110</v>
      </c>
      <c r="P9" t="s">
        <v>99</v>
      </c>
      <c r="Q9" t="s">
        <v>100</v>
      </c>
      <c r="R9" t="s">
        <v>101</v>
      </c>
      <c r="S9" t="s">
        <v>114</v>
      </c>
      <c r="T9" t="s">
        <v>115</v>
      </c>
      <c r="U9" t="s">
        <v>104</v>
      </c>
      <c r="V9" t="s">
        <v>105</v>
      </c>
      <c r="W9" t="s">
        <v>118</v>
      </c>
      <c r="X9" t="s">
        <v>107</v>
      </c>
      <c r="Y9" t="s">
        <v>108</v>
      </c>
      <c r="Z9" t="s">
        <v>109</v>
      </c>
      <c r="AA9" t="s">
        <v>98</v>
      </c>
      <c r="AB9" t="s">
        <v>111</v>
      </c>
      <c r="AC9" t="s">
        <v>112</v>
      </c>
      <c r="AD9" t="s">
        <v>113</v>
      </c>
      <c r="AE9" t="s">
        <v>102</v>
      </c>
      <c r="AF9" t="s">
        <v>103</v>
      </c>
      <c r="AG9" t="s">
        <v>116</v>
      </c>
      <c r="AH9" t="s">
        <v>143</v>
      </c>
      <c r="AI9" t="s">
        <v>106</v>
      </c>
      <c r="AJ9" t="s">
        <v>119</v>
      </c>
      <c r="AK9" t="s">
        <v>128</v>
      </c>
      <c r="AL9" t="s">
        <v>121</v>
      </c>
      <c r="AM9" t="s">
        <v>90</v>
      </c>
      <c r="AN9" t="s">
        <v>94</v>
      </c>
      <c r="AO9" t="s">
        <v>86</v>
      </c>
      <c r="AP9" t="s">
        <v>100</v>
      </c>
      <c r="AQ9" t="s">
        <v>109</v>
      </c>
      <c r="AR9" t="s">
        <v>93</v>
      </c>
      <c r="AS9" t="s">
        <v>103</v>
      </c>
      <c r="AT9" t="s">
        <v>92</v>
      </c>
      <c r="AU9" t="s">
        <v>88</v>
      </c>
      <c r="AV9" t="s">
        <v>118</v>
      </c>
      <c r="AW9" t="s">
        <v>89</v>
      </c>
      <c r="AX9" t="s">
        <v>97</v>
      </c>
      <c r="AY9" t="s">
        <v>95</v>
      </c>
      <c r="AZ9" t="s">
        <v>101</v>
      </c>
      <c r="BA9" t="s">
        <v>87</v>
      </c>
      <c r="BB9" t="s">
        <v>96</v>
      </c>
      <c r="BC9" t="s">
        <v>94</v>
      </c>
      <c r="BD9" t="s">
        <v>100</v>
      </c>
      <c r="BE9" t="s">
        <v>93</v>
      </c>
      <c r="BF9" t="s">
        <v>92</v>
      </c>
      <c r="BG9" t="s">
        <v>88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211</v>
      </c>
      <c r="BS9" t="s">
        <v>122</v>
      </c>
      <c r="BT9" t="s">
        <v>212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19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16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0</v>
      </c>
      <c r="CE9">
        <f>IF(BR9='Resultats Reals'!$L$2,5,0)</f>
        <v>0</v>
      </c>
      <c r="CF9" s="7">
        <f>SUM(BU9:CE9)</f>
        <v>50</v>
      </c>
    </row>
    <row r="10" spans="1:84" x14ac:dyDescent="0.2">
      <c r="A10" t="s">
        <v>185</v>
      </c>
      <c r="B10" t="s">
        <v>85</v>
      </c>
      <c r="C10" t="s">
        <v>86</v>
      </c>
      <c r="D10" t="s">
        <v>99</v>
      </c>
      <c r="E10" t="s">
        <v>88</v>
      </c>
      <c r="F10" t="s">
        <v>89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87</v>
      </c>
      <c r="Q10" t="s">
        <v>100</v>
      </c>
      <c r="R10" t="s">
        <v>101</v>
      </c>
      <c r="S10" t="s">
        <v>102</v>
      </c>
      <c r="T10" t="s">
        <v>115</v>
      </c>
      <c r="U10" t="s">
        <v>116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131</v>
      </c>
      <c r="AB10" t="s">
        <v>126</v>
      </c>
      <c r="AC10" t="s">
        <v>112</v>
      </c>
      <c r="AD10" t="s">
        <v>127</v>
      </c>
      <c r="AE10" t="s">
        <v>114</v>
      </c>
      <c r="AF10" t="s">
        <v>103</v>
      </c>
      <c r="AG10" t="s">
        <v>104</v>
      </c>
      <c r="AH10" t="s">
        <v>117</v>
      </c>
      <c r="AI10" t="s">
        <v>118</v>
      </c>
      <c r="AJ10" t="s">
        <v>119</v>
      </c>
      <c r="AK10" t="s">
        <v>120</v>
      </c>
      <c r="AL10" t="s">
        <v>121</v>
      </c>
      <c r="AM10" t="s">
        <v>86</v>
      </c>
      <c r="AN10" t="s">
        <v>98</v>
      </c>
      <c r="AO10" t="s">
        <v>99</v>
      </c>
      <c r="AP10" t="s">
        <v>87</v>
      </c>
      <c r="AQ10" t="s">
        <v>88</v>
      </c>
      <c r="AR10" t="s">
        <v>100</v>
      </c>
      <c r="AS10" t="s">
        <v>89</v>
      </c>
      <c r="AT10" t="s">
        <v>101</v>
      </c>
      <c r="AU10" t="s">
        <v>90</v>
      </c>
      <c r="AV10" t="s">
        <v>102</v>
      </c>
      <c r="AW10" t="s">
        <v>91</v>
      </c>
      <c r="AX10" t="s">
        <v>115</v>
      </c>
      <c r="AY10" t="s">
        <v>92</v>
      </c>
      <c r="AZ10" t="s">
        <v>93</v>
      </c>
      <c r="BA10" t="s">
        <v>94</v>
      </c>
      <c r="BB10" t="s">
        <v>95</v>
      </c>
      <c r="BC10" t="s">
        <v>88</v>
      </c>
      <c r="BD10" t="s">
        <v>93</v>
      </c>
      <c r="BE10" t="s">
        <v>94</v>
      </c>
      <c r="BF10" t="s">
        <v>95</v>
      </c>
      <c r="BG10" t="s">
        <v>97</v>
      </c>
      <c r="BH10" t="s">
        <v>96</v>
      </c>
      <c r="BI10" t="s">
        <v>90</v>
      </c>
      <c r="BJ10" t="s">
        <v>91</v>
      </c>
      <c r="BK10" t="s">
        <v>94</v>
      </c>
      <c r="BL10" t="s">
        <v>93</v>
      </c>
      <c r="BM10" t="s">
        <v>88</v>
      </c>
      <c r="BN10" t="s">
        <v>95</v>
      </c>
      <c r="BO10" t="s">
        <v>94</v>
      </c>
      <c r="BP10" t="s">
        <v>93</v>
      </c>
      <c r="BQ10" t="s">
        <v>93</v>
      </c>
      <c r="BR10" s="6" t="s">
        <v>186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20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16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9.5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>SUM(BU10:CE10)</f>
        <v>49.5</v>
      </c>
    </row>
    <row r="11" spans="1:84" x14ac:dyDescent="0.2">
      <c r="A11" t="s">
        <v>138</v>
      </c>
      <c r="B11" t="s">
        <v>136</v>
      </c>
      <c r="C11" t="s">
        <v>86</v>
      </c>
      <c r="D11" t="s">
        <v>87</v>
      </c>
      <c r="E11" t="s">
        <v>100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108</v>
      </c>
      <c r="N11" t="s">
        <v>97</v>
      </c>
      <c r="O11" t="s">
        <v>98</v>
      </c>
      <c r="P11" t="s">
        <v>99</v>
      </c>
      <c r="Q11" t="s">
        <v>88</v>
      </c>
      <c r="R11" t="s">
        <v>101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96</v>
      </c>
      <c r="Z11" t="s">
        <v>109</v>
      </c>
      <c r="AA11" t="s">
        <v>110</v>
      </c>
      <c r="AB11" t="s">
        <v>126</v>
      </c>
      <c r="AC11" t="s">
        <v>112</v>
      </c>
      <c r="AD11" t="s">
        <v>113</v>
      </c>
      <c r="AE11" t="s">
        <v>114</v>
      </c>
      <c r="AF11" t="s">
        <v>103</v>
      </c>
      <c r="AG11" t="s">
        <v>139</v>
      </c>
      <c r="AH11" t="s">
        <v>117</v>
      </c>
      <c r="AI11" t="s">
        <v>106</v>
      </c>
      <c r="AJ11" t="s">
        <v>119</v>
      </c>
      <c r="AK11" t="s">
        <v>120</v>
      </c>
      <c r="AL11" t="s">
        <v>121</v>
      </c>
      <c r="AM11" t="s">
        <v>86</v>
      </c>
      <c r="AN11" t="s">
        <v>87</v>
      </c>
      <c r="AO11" t="s">
        <v>100</v>
      </c>
      <c r="AP11" t="s">
        <v>89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96</v>
      </c>
      <c r="AW11" t="s">
        <v>108</v>
      </c>
      <c r="AX11" t="s">
        <v>97</v>
      </c>
      <c r="AY11" t="s">
        <v>98</v>
      </c>
      <c r="AZ11" t="s">
        <v>88</v>
      </c>
      <c r="BA11" t="s">
        <v>115</v>
      </c>
      <c r="BB11" t="s">
        <v>105</v>
      </c>
      <c r="BC11" t="s">
        <v>86</v>
      </c>
      <c r="BD11" t="s">
        <v>100</v>
      </c>
      <c r="BE11" t="s">
        <v>90</v>
      </c>
      <c r="BF11" t="s">
        <v>93</v>
      </c>
      <c r="BG11" t="s">
        <v>94</v>
      </c>
      <c r="BH11" t="s">
        <v>97</v>
      </c>
      <c r="BI11" t="s">
        <v>88</v>
      </c>
      <c r="BJ11" t="s">
        <v>105</v>
      </c>
      <c r="BK11" t="s">
        <v>100</v>
      </c>
      <c r="BL11" t="s">
        <v>93</v>
      </c>
      <c r="BM11" t="s">
        <v>94</v>
      </c>
      <c r="BN11" t="s">
        <v>88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19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4</v>
      </c>
      <c r="CE11">
        <f>IF(BR11='Resultats Reals'!$L$2,5,0)</f>
        <v>0</v>
      </c>
      <c r="CF11" s="7">
        <f>SUM(BU11:CE11)</f>
        <v>49</v>
      </c>
    </row>
    <row r="12" spans="1:84" x14ac:dyDescent="0.2">
      <c r="A12" t="s">
        <v>184</v>
      </c>
      <c r="B12" t="s">
        <v>125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126</v>
      </c>
      <c r="Q12" t="s">
        <v>100</v>
      </c>
      <c r="R12" t="s">
        <v>89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119</v>
      </c>
      <c r="Y12" t="s">
        <v>108</v>
      </c>
      <c r="Z12" t="s">
        <v>109</v>
      </c>
      <c r="AA12" t="s">
        <v>131</v>
      </c>
      <c r="AB12" t="s">
        <v>87</v>
      </c>
      <c r="AC12" t="s">
        <v>112</v>
      </c>
      <c r="AD12" t="s">
        <v>113</v>
      </c>
      <c r="AE12" t="s">
        <v>114</v>
      </c>
      <c r="AF12" t="s">
        <v>103</v>
      </c>
      <c r="AG12" t="s">
        <v>116</v>
      </c>
      <c r="AH12" t="s">
        <v>117</v>
      </c>
      <c r="AI12" t="s">
        <v>106</v>
      </c>
      <c r="AJ12" t="s">
        <v>107</v>
      </c>
      <c r="AK12" t="s">
        <v>128</v>
      </c>
      <c r="AL12" t="s">
        <v>121</v>
      </c>
      <c r="AM12" t="s">
        <v>90</v>
      </c>
      <c r="AN12" t="s">
        <v>94</v>
      </c>
      <c r="AO12" t="s">
        <v>98</v>
      </c>
      <c r="AP12" t="s">
        <v>100</v>
      </c>
      <c r="AQ12" t="s">
        <v>108</v>
      </c>
      <c r="AR12" t="s">
        <v>93</v>
      </c>
      <c r="AS12" t="s">
        <v>101</v>
      </c>
      <c r="AT12" t="s">
        <v>92</v>
      </c>
      <c r="AU12" t="s">
        <v>88</v>
      </c>
      <c r="AV12" t="s">
        <v>118</v>
      </c>
      <c r="AW12" t="s">
        <v>86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100</v>
      </c>
      <c r="BE12" t="s">
        <v>93</v>
      </c>
      <c r="BF12" t="s">
        <v>92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88</v>
      </c>
      <c r="BQ12" t="s">
        <v>93</v>
      </c>
      <c r="BS12" t="s">
        <v>122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18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12.5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>SUM(BU12:CE12)</f>
        <v>48.5</v>
      </c>
    </row>
    <row r="13" spans="1:84" x14ac:dyDescent="0.2">
      <c r="A13" t="s">
        <v>169</v>
      </c>
      <c r="B13" t="s">
        <v>85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110</v>
      </c>
      <c r="P13" t="s">
        <v>111</v>
      </c>
      <c r="Q13" t="s">
        <v>100</v>
      </c>
      <c r="R13" t="s">
        <v>113</v>
      </c>
      <c r="S13" t="s">
        <v>102</v>
      </c>
      <c r="T13" t="s">
        <v>115</v>
      </c>
      <c r="U13" t="s">
        <v>104</v>
      </c>
      <c r="V13" t="s">
        <v>105</v>
      </c>
      <c r="W13" t="s">
        <v>118</v>
      </c>
      <c r="X13" t="s">
        <v>107</v>
      </c>
      <c r="Y13" t="s">
        <v>108</v>
      </c>
      <c r="Z13" t="s">
        <v>109</v>
      </c>
      <c r="AA13" t="s">
        <v>98</v>
      </c>
      <c r="AB13" t="s">
        <v>99</v>
      </c>
      <c r="AC13" t="s">
        <v>112</v>
      </c>
      <c r="AD13" t="s">
        <v>89</v>
      </c>
      <c r="AE13" t="s">
        <v>114</v>
      </c>
      <c r="AF13" t="s">
        <v>103</v>
      </c>
      <c r="AG13" t="s">
        <v>116</v>
      </c>
      <c r="AH13" t="s">
        <v>117</v>
      </c>
      <c r="AI13" t="s">
        <v>106</v>
      </c>
      <c r="AJ13" t="s">
        <v>119</v>
      </c>
      <c r="AK13" t="s">
        <v>128</v>
      </c>
      <c r="AL13" t="s">
        <v>121</v>
      </c>
      <c r="AM13" t="s">
        <v>102</v>
      </c>
      <c r="AN13" t="s">
        <v>94</v>
      </c>
      <c r="AO13" t="s">
        <v>110</v>
      </c>
      <c r="AP13" t="s">
        <v>91</v>
      </c>
      <c r="AQ13" t="s">
        <v>108</v>
      </c>
      <c r="AR13" t="s">
        <v>93</v>
      </c>
      <c r="AS13" t="s">
        <v>101</v>
      </c>
      <c r="AT13" t="s">
        <v>92</v>
      </c>
      <c r="AU13" t="s">
        <v>88</v>
      </c>
      <c r="AV13" t="s">
        <v>90</v>
      </c>
      <c r="AW13" t="s">
        <v>86</v>
      </c>
      <c r="AX13" t="s">
        <v>97</v>
      </c>
      <c r="AY13" t="s">
        <v>95</v>
      </c>
      <c r="AZ13" t="s">
        <v>113</v>
      </c>
      <c r="BA13" t="s">
        <v>87</v>
      </c>
      <c r="BB13" t="s">
        <v>96</v>
      </c>
      <c r="BC13" t="s">
        <v>94</v>
      </c>
      <c r="BD13" t="s">
        <v>91</v>
      </c>
      <c r="BE13" t="s">
        <v>93</v>
      </c>
      <c r="BF13" t="s">
        <v>92</v>
      </c>
      <c r="BG13" t="s">
        <v>90</v>
      </c>
      <c r="BH13" t="s">
        <v>97</v>
      </c>
      <c r="BI13" t="s">
        <v>95</v>
      </c>
      <c r="BJ13" t="s">
        <v>96</v>
      </c>
      <c r="BK13" t="s">
        <v>94</v>
      </c>
      <c r="BL13" t="s">
        <v>93</v>
      </c>
      <c r="BM13" t="s">
        <v>90</v>
      </c>
      <c r="BN13" t="s">
        <v>95</v>
      </c>
      <c r="BO13" t="s">
        <v>93</v>
      </c>
      <c r="BP13" t="s">
        <v>90</v>
      </c>
      <c r="BQ13" t="s">
        <v>93</v>
      </c>
      <c r="BS13" t="s">
        <v>122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17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>SUM(BU13:CE13)</f>
        <v>48</v>
      </c>
    </row>
    <row r="14" spans="1:84" x14ac:dyDescent="0.2">
      <c r="A14" t="s">
        <v>189</v>
      </c>
      <c r="B14" t="s">
        <v>148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145</v>
      </c>
      <c r="AA14" t="s">
        <v>131</v>
      </c>
      <c r="AB14" t="s">
        <v>126</v>
      </c>
      <c r="AC14" t="s">
        <v>112</v>
      </c>
      <c r="AD14" t="s">
        <v>113</v>
      </c>
      <c r="AE14" t="s">
        <v>114</v>
      </c>
      <c r="AF14" t="s">
        <v>103</v>
      </c>
      <c r="AG14" t="s">
        <v>139</v>
      </c>
      <c r="AH14" t="s">
        <v>117</v>
      </c>
      <c r="AI14" t="s">
        <v>106</v>
      </c>
      <c r="AJ14" t="s">
        <v>119</v>
      </c>
      <c r="AK14" t="s">
        <v>128</v>
      </c>
      <c r="AL14" t="s">
        <v>109</v>
      </c>
      <c r="AM14" t="s">
        <v>86</v>
      </c>
      <c r="AN14" t="s">
        <v>88</v>
      </c>
      <c r="AO14" t="s">
        <v>101</v>
      </c>
      <c r="AP14" t="s">
        <v>90</v>
      </c>
      <c r="AQ14" t="s">
        <v>91</v>
      </c>
      <c r="AR14" t="s">
        <v>93</v>
      </c>
      <c r="AS14" t="s">
        <v>105</v>
      </c>
      <c r="AT14" t="s">
        <v>94</v>
      </c>
      <c r="AU14" t="s">
        <v>118</v>
      </c>
      <c r="AV14" t="s">
        <v>95</v>
      </c>
      <c r="AW14" t="s">
        <v>96</v>
      </c>
      <c r="AX14" t="s">
        <v>108</v>
      </c>
      <c r="AY14" t="s">
        <v>97</v>
      </c>
      <c r="AZ14" t="s">
        <v>100</v>
      </c>
      <c r="BA14" t="s">
        <v>109</v>
      </c>
      <c r="BB14" t="s">
        <v>89</v>
      </c>
      <c r="BC14" t="s">
        <v>88</v>
      </c>
      <c r="BD14" t="s">
        <v>90</v>
      </c>
      <c r="BE14" t="s">
        <v>93</v>
      </c>
      <c r="BF14" t="s">
        <v>95</v>
      </c>
      <c r="BG14" t="s">
        <v>94</v>
      </c>
      <c r="BH14" t="s">
        <v>96</v>
      </c>
      <c r="BI14" t="s">
        <v>97</v>
      </c>
      <c r="BJ14" t="s">
        <v>105</v>
      </c>
      <c r="BK14" t="s">
        <v>95</v>
      </c>
      <c r="BL14" t="s">
        <v>96</v>
      </c>
      <c r="BM14" t="s">
        <v>93</v>
      </c>
      <c r="BN14" t="s">
        <v>97</v>
      </c>
      <c r="BO14" t="s">
        <v>93</v>
      </c>
      <c r="BP14" t="s">
        <v>95</v>
      </c>
      <c r="BQ14" t="s">
        <v>95</v>
      </c>
      <c r="BR14" s="6" t="s">
        <v>190</v>
      </c>
      <c r="BS14" t="s">
        <v>155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19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9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>SUM(BU14:CE14)</f>
        <v>48</v>
      </c>
    </row>
    <row r="15" spans="1:84" x14ac:dyDescent="0.2">
      <c r="A15" t="s">
        <v>137</v>
      </c>
      <c r="B15" t="s">
        <v>85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99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110</v>
      </c>
      <c r="AB15" t="s">
        <v>111</v>
      </c>
      <c r="AC15" t="s">
        <v>112</v>
      </c>
      <c r="AD15" t="s">
        <v>127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120</v>
      </c>
      <c r="AL15" t="s">
        <v>121</v>
      </c>
      <c r="AM15" t="s">
        <v>88</v>
      </c>
      <c r="AN15" t="s">
        <v>90</v>
      </c>
      <c r="AO15" t="s">
        <v>100</v>
      </c>
      <c r="AP15" t="s">
        <v>93</v>
      </c>
      <c r="AQ15" t="s">
        <v>92</v>
      </c>
      <c r="AR15" t="s">
        <v>91</v>
      </c>
      <c r="AS15" t="s">
        <v>95</v>
      </c>
      <c r="AT15" t="s">
        <v>94</v>
      </c>
      <c r="AU15" t="s">
        <v>97</v>
      </c>
      <c r="AV15" t="s">
        <v>109</v>
      </c>
      <c r="AW15" t="s">
        <v>96</v>
      </c>
      <c r="AX15" t="s">
        <v>105</v>
      </c>
      <c r="AY15" t="s">
        <v>102</v>
      </c>
      <c r="AZ15" t="s">
        <v>101</v>
      </c>
      <c r="BA15" t="s">
        <v>108</v>
      </c>
      <c r="BB15" t="s">
        <v>106</v>
      </c>
      <c r="BC15" t="s">
        <v>93</v>
      </c>
      <c r="BD15" t="s">
        <v>95</v>
      </c>
      <c r="BE15" t="s">
        <v>94</v>
      </c>
      <c r="BF15" t="s">
        <v>88</v>
      </c>
      <c r="BG15" t="s">
        <v>90</v>
      </c>
      <c r="BH15" t="s">
        <v>100</v>
      </c>
      <c r="BI15" t="s">
        <v>96</v>
      </c>
      <c r="BJ15" t="s">
        <v>91</v>
      </c>
      <c r="BK15" t="s">
        <v>93</v>
      </c>
      <c r="BL15" t="s">
        <v>88</v>
      </c>
      <c r="BM15" t="s">
        <v>95</v>
      </c>
      <c r="BN15" t="s">
        <v>94</v>
      </c>
      <c r="BO15" t="s">
        <v>93</v>
      </c>
      <c r="BP15" t="s">
        <v>94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17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>SUM(BU15:CE15)</f>
        <v>47.5</v>
      </c>
    </row>
    <row r="16" spans="1:84" x14ac:dyDescent="0.2">
      <c r="A16" t="s">
        <v>157</v>
      </c>
      <c r="B16" t="s">
        <v>136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98</v>
      </c>
      <c r="P16" t="s">
        <v>111</v>
      </c>
      <c r="Q16" t="s">
        <v>100</v>
      </c>
      <c r="R16" t="s">
        <v>89</v>
      </c>
      <c r="S16" t="s">
        <v>102</v>
      </c>
      <c r="T16" t="s">
        <v>115</v>
      </c>
      <c r="U16" t="s">
        <v>116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110</v>
      </c>
      <c r="AB16" t="s">
        <v>99</v>
      </c>
      <c r="AC16" t="s">
        <v>112</v>
      </c>
      <c r="AD16" t="s">
        <v>113</v>
      </c>
      <c r="AE16" t="s">
        <v>114</v>
      </c>
      <c r="AF16" t="s">
        <v>103</v>
      </c>
      <c r="AG16" t="s">
        <v>104</v>
      </c>
      <c r="AH16" t="s">
        <v>117</v>
      </c>
      <c r="AI16" t="s">
        <v>106</v>
      </c>
      <c r="AJ16" t="s">
        <v>119</v>
      </c>
      <c r="AK16" t="s">
        <v>120</v>
      </c>
      <c r="AL16" t="s">
        <v>145</v>
      </c>
      <c r="AM16" t="s">
        <v>86</v>
      </c>
      <c r="AN16" t="s">
        <v>87</v>
      </c>
      <c r="AO16" t="s">
        <v>88</v>
      </c>
      <c r="AP16" t="s">
        <v>101</v>
      </c>
      <c r="AQ16" t="s">
        <v>90</v>
      </c>
      <c r="AR16" t="s">
        <v>91</v>
      </c>
      <c r="AS16" t="s">
        <v>92</v>
      </c>
      <c r="AT16" t="s">
        <v>93</v>
      </c>
      <c r="AU16" t="s">
        <v>94</v>
      </c>
      <c r="AV16" t="s">
        <v>95</v>
      </c>
      <c r="AW16" t="s">
        <v>108</v>
      </c>
      <c r="AX16" t="s">
        <v>97</v>
      </c>
      <c r="AY16" t="s">
        <v>96</v>
      </c>
      <c r="AZ16" t="s">
        <v>109</v>
      </c>
      <c r="BA16" t="s">
        <v>100</v>
      </c>
      <c r="BB16" t="s">
        <v>89</v>
      </c>
      <c r="BC16" t="s">
        <v>87</v>
      </c>
      <c r="BD16" t="s">
        <v>88</v>
      </c>
      <c r="BE16" t="s">
        <v>91</v>
      </c>
      <c r="BF16" t="s">
        <v>93</v>
      </c>
      <c r="BG16" t="s">
        <v>95</v>
      </c>
      <c r="BH16" t="s">
        <v>97</v>
      </c>
      <c r="BI16" t="s">
        <v>96</v>
      </c>
      <c r="BJ16" t="s">
        <v>100</v>
      </c>
      <c r="BK16" t="s">
        <v>88</v>
      </c>
      <c r="BL16" t="s">
        <v>93</v>
      </c>
      <c r="BM16" t="s">
        <v>95</v>
      </c>
      <c r="BN16" t="s">
        <v>100</v>
      </c>
      <c r="BO16" t="s">
        <v>93</v>
      </c>
      <c r="BP16" t="s">
        <v>95</v>
      </c>
      <c r="BQ16" t="s">
        <v>95</v>
      </c>
      <c r="BS16" t="s">
        <v>158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18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17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>SUM(BU16:CE16)</f>
        <v>47.5</v>
      </c>
    </row>
    <row r="17" spans="1:84" x14ac:dyDescent="0.2">
      <c r="A17" t="s">
        <v>191</v>
      </c>
      <c r="B17" t="s">
        <v>85</v>
      </c>
      <c r="C17" t="s">
        <v>86</v>
      </c>
      <c r="D17" t="s">
        <v>87</v>
      </c>
      <c r="E17" t="s">
        <v>88</v>
      </c>
      <c r="F17" t="s">
        <v>101</v>
      </c>
      <c r="G17" t="s">
        <v>114</v>
      </c>
      <c r="H17" t="s">
        <v>91</v>
      </c>
      <c r="I17" t="s">
        <v>92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98</v>
      </c>
      <c r="P17" t="s">
        <v>111</v>
      </c>
      <c r="Q17" t="s">
        <v>100</v>
      </c>
      <c r="R17" t="s">
        <v>89</v>
      </c>
      <c r="S17" t="s">
        <v>90</v>
      </c>
      <c r="T17" t="s">
        <v>115</v>
      </c>
      <c r="U17" t="s">
        <v>104</v>
      </c>
      <c r="V17" t="s">
        <v>105</v>
      </c>
      <c r="W17" t="s">
        <v>106</v>
      </c>
      <c r="X17" t="s">
        <v>107</v>
      </c>
      <c r="Y17" t="s">
        <v>108</v>
      </c>
      <c r="Z17" t="s">
        <v>109</v>
      </c>
      <c r="AA17" t="s">
        <v>110</v>
      </c>
      <c r="AB17" t="s">
        <v>99</v>
      </c>
      <c r="AC17" t="s">
        <v>112</v>
      </c>
      <c r="AD17" t="s">
        <v>113</v>
      </c>
      <c r="AE17" t="s">
        <v>102</v>
      </c>
      <c r="AF17" t="s">
        <v>103</v>
      </c>
      <c r="AG17" t="s">
        <v>116</v>
      </c>
      <c r="AH17" t="s">
        <v>117</v>
      </c>
      <c r="AI17" t="s">
        <v>118</v>
      </c>
      <c r="AJ17" t="s">
        <v>119</v>
      </c>
      <c r="AK17" t="s">
        <v>128</v>
      </c>
      <c r="AL17" t="s">
        <v>121</v>
      </c>
      <c r="AM17" t="s">
        <v>114</v>
      </c>
      <c r="AN17" t="s">
        <v>94</v>
      </c>
      <c r="AO17" t="s">
        <v>111</v>
      </c>
      <c r="AP17" t="s">
        <v>91</v>
      </c>
      <c r="AQ17" t="s">
        <v>108</v>
      </c>
      <c r="AR17" t="s">
        <v>93</v>
      </c>
      <c r="AS17" t="s">
        <v>101</v>
      </c>
      <c r="AT17" t="s">
        <v>92</v>
      </c>
      <c r="AU17" t="s">
        <v>88</v>
      </c>
      <c r="AV17" t="s">
        <v>106</v>
      </c>
      <c r="AW17" t="s">
        <v>86</v>
      </c>
      <c r="AX17" t="s">
        <v>97</v>
      </c>
      <c r="AY17" t="s">
        <v>95</v>
      </c>
      <c r="AZ17" t="s">
        <v>89</v>
      </c>
      <c r="BA17" t="s">
        <v>87</v>
      </c>
      <c r="BB17" t="s">
        <v>96</v>
      </c>
      <c r="BC17" t="s">
        <v>94</v>
      </c>
      <c r="BD17" t="s">
        <v>91</v>
      </c>
      <c r="BE17" t="s">
        <v>93</v>
      </c>
      <c r="BF17" t="s">
        <v>101</v>
      </c>
      <c r="BG17" t="s">
        <v>88</v>
      </c>
      <c r="BH17" t="s">
        <v>97</v>
      </c>
      <c r="BI17" t="s">
        <v>95</v>
      </c>
      <c r="BJ17" t="s">
        <v>96</v>
      </c>
      <c r="BK17" t="s">
        <v>91</v>
      </c>
      <c r="BL17" t="s">
        <v>93</v>
      </c>
      <c r="BM17" t="s">
        <v>97</v>
      </c>
      <c r="BN17" t="s">
        <v>88</v>
      </c>
      <c r="BO17" t="s">
        <v>91</v>
      </c>
      <c r="BP17" t="s">
        <v>97</v>
      </c>
      <c r="BQ17" t="s">
        <v>97</v>
      </c>
      <c r="BS17" t="s">
        <v>167</v>
      </c>
      <c r="BT17" t="s">
        <v>155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14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15.5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>SUM(BU17:CE17)</f>
        <v>47.5</v>
      </c>
    </row>
    <row r="18" spans="1:84" x14ac:dyDescent="0.2">
      <c r="A18" t="s">
        <v>196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103</v>
      </c>
      <c r="U18" t="s">
        <v>104</v>
      </c>
      <c r="V18" t="s">
        <v>105</v>
      </c>
      <c r="W18" t="s">
        <v>118</v>
      </c>
      <c r="X18" t="s">
        <v>119</v>
      </c>
      <c r="Y18" t="s">
        <v>108</v>
      </c>
      <c r="Z18" t="s">
        <v>109</v>
      </c>
      <c r="AA18" t="s">
        <v>110</v>
      </c>
      <c r="AB18" t="s">
        <v>111</v>
      </c>
      <c r="AC18" t="s">
        <v>112</v>
      </c>
      <c r="AD18" t="s">
        <v>113</v>
      </c>
      <c r="AE18" t="s">
        <v>114</v>
      </c>
      <c r="AF18" t="s">
        <v>115</v>
      </c>
      <c r="AG18" t="s">
        <v>116</v>
      </c>
      <c r="AH18" t="s">
        <v>117</v>
      </c>
      <c r="AI18" t="s">
        <v>106</v>
      </c>
      <c r="AJ18" t="s">
        <v>107</v>
      </c>
      <c r="AK18" t="s">
        <v>128</v>
      </c>
      <c r="AL18" t="s">
        <v>121</v>
      </c>
      <c r="AM18" t="s">
        <v>86</v>
      </c>
      <c r="AN18" t="s">
        <v>87</v>
      </c>
      <c r="AO18" t="s">
        <v>88</v>
      </c>
      <c r="AP18" t="s">
        <v>101</v>
      </c>
      <c r="AQ18" t="s">
        <v>90</v>
      </c>
      <c r="AR18" t="s">
        <v>197</v>
      </c>
      <c r="AS18" t="s">
        <v>92</v>
      </c>
      <c r="AT18" t="s">
        <v>93</v>
      </c>
      <c r="AU18" t="s">
        <v>94</v>
      </c>
      <c r="AV18" t="s">
        <v>95</v>
      </c>
      <c r="AW18" t="s">
        <v>96</v>
      </c>
      <c r="AX18" t="s">
        <v>97</v>
      </c>
      <c r="AY18" t="s">
        <v>98</v>
      </c>
      <c r="AZ18" t="s">
        <v>102</v>
      </c>
      <c r="BA18" t="s">
        <v>108</v>
      </c>
      <c r="BB18" t="s">
        <v>89</v>
      </c>
      <c r="BC18" t="s">
        <v>94</v>
      </c>
      <c r="BD18" t="s">
        <v>91</v>
      </c>
      <c r="BE18" t="s">
        <v>88</v>
      </c>
      <c r="BF18" t="s">
        <v>97</v>
      </c>
      <c r="BG18" t="s">
        <v>101</v>
      </c>
      <c r="BH18" t="s">
        <v>93</v>
      </c>
      <c r="BI18" t="s">
        <v>95</v>
      </c>
      <c r="BJ18" t="s">
        <v>96</v>
      </c>
      <c r="BK18" t="s">
        <v>94</v>
      </c>
      <c r="BL18" t="s">
        <v>88</v>
      </c>
      <c r="BM18" t="s">
        <v>93</v>
      </c>
      <c r="BN18" t="s">
        <v>96</v>
      </c>
      <c r="BO18" t="s">
        <v>93</v>
      </c>
      <c r="BP18" t="s">
        <v>94</v>
      </c>
      <c r="BQ18" t="s">
        <v>93</v>
      </c>
      <c r="BR18" s="6" t="s">
        <v>177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17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12.5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4</v>
      </c>
      <c r="CE18">
        <f>IF(BR18='Resultats Reals'!$L$2,5,0)</f>
        <v>0</v>
      </c>
      <c r="CF18" s="7">
        <f>SUM(BU18:CE18)</f>
        <v>47.5</v>
      </c>
    </row>
    <row r="19" spans="1:84" x14ac:dyDescent="0.2">
      <c r="A19" t="s">
        <v>209</v>
      </c>
      <c r="B19" t="s">
        <v>85</v>
      </c>
      <c r="C19" t="s">
        <v>110</v>
      </c>
      <c r="D19" t="s">
        <v>87</v>
      </c>
      <c r="E19" t="s">
        <v>88</v>
      </c>
      <c r="F19" t="s">
        <v>89</v>
      </c>
      <c r="G19" t="s">
        <v>90</v>
      </c>
      <c r="H19" t="s">
        <v>115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86</v>
      </c>
      <c r="P19" t="s">
        <v>99</v>
      </c>
      <c r="Q19" t="s">
        <v>100</v>
      </c>
      <c r="R19" t="s">
        <v>101</v>
      </c>
      <c r="S19" t="s">
        <v>102</v>
      </c>
      <c r="T19" t="s">
        <v>91</v>
      </c>
      <c r="U19" t="s">
        <v>104</v>
      </c>
      <c r="V19" t="s">
        <v>105</v>
      </c>
      <c r="W19" t="s">
        <v>118</v>
      </c>
      <c r="X19" t="s">
        <v>107</v>
      </c>
      <c r="Y19" t="s">
        <v>108</v>
      </c>
      <c r="Z19" t="s">
        <v>109</v>
      </c>
      <c r="AA19" t="s">
        <v>98</v>
      </c>
      <c r="AB19" t="s">
        <v>111</v>
      </c>
      <c r="AC19" t="s">
        <v>112</v>
      </c>
      <c r="AD19" t="s">
        <v>113</v>
      </c>
      <c r="AE19" t="s">
        <v>114</v>
      </c>
      <c r="AF19" t="s">
        <v>103</v>
      </c>
      <c r="AG19" t="s">
        <v>116</v>
      </c>
      <c r="AH19" t="s">
        <v>143</v>
      </c>
      <c r="AI19" t="s">
        <v>106</v>
      </c>
      <c r="AJ19" t="s">
        <v>119</v>
      </c>
      <c r="AK19" t="s">
        <v>128</v>
      </c>
      <c r="AL19" t="s">
        <v>121</v>
      </c>
      <c r="AM19" t="s">
        <v>90</v>
      </c>
      <c r="AN19" t="s">
        <v>94</v>
      </c>
      <c r="AO19" t="s">
        <v>86</v>
      </c>
      <c r="AP19" t="s">
        <v>100</v>
      </c>
      <c r="AQ19" t="s">
        <v>109</v>
      </c>
      <c r="AR19" t="s">
        <v>93</v>
      </c>
      <c r="AS19" t="s">
        <v>103</v>
      </c>
      <c r="AT19" t="s">
        <v>92</v>
      </c>
      <c r="AU19" t="s">
        <v>88</v>
      </c>
      <c r="AV19" t="s">
        <v>118</v>
      </c>
      <c r="AW19" t="s">
        <v>110</v>
      </c>
      <c r="AX19" t="s">
        <v>97</v>
      </c>
      <c r="AY19" t="s">
        <v>95</v>
      </c>
      <c r="AZ19" t="s">
        <v>101</v>
      </c>
      <c r="BA19" t="s">
        <v>87</v>
      </c>
      <c r="BB19" t="s">
        <v>96</v>
      </c>
      <c r="BC19" t="s">
        <v>94</v>
      </c>
      <c r="BD19" t="s">
        <v>100</v>
      </c>
      <c r="BE19" t="s">
        <v>93</v>
      </c>
      <c r="BF19" t="s">
        <v>92</v>
      </c>
      <c r="BG19" t="s">
        <v>88</v>
      </c>
      <c r="BH19" t="s">
        <v>97</v>
      </c>
      <c r="BI19" t="s">
        <v>95</v>
      </c>
      <c r="BJ19" t="s">
        <v>96</v>
      </c>
      <c r="BK19" t="s">
        <v>94</v>
      </c>
      <c r="BL19" t="s">
        <v>93</v>
      </c>
      <c r="BM19" t="s">
        <v>97</v>
      </c>
      <c r="BN19" t="s">
        <v>95</v>
      </c>
      <c r="BO19" t="s">
        <v>94</v>
      </c>
      <c r="BP19" t="s">
        <v>97</v>
      </c>
      <c r="BQ19" t="s">
        <v>97</v>
      </c>
      <c r="BS19" t="s">
        <v>129</v>
      </c>
      <c r="BT19" t="s">
        <v>155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14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>SUM(BU19:CE19)</f>
        <v>47</v>
      </c>
    </row>
    <row r="20" spans="1:84" x14ac:dyDescent="0.2">
      <c r="A20" t="s">
        <v>154</v>
      </c>
      <c r="B20" t="s">
        <v>136</v>
      </c>
      <c r="C20" t="s">
        <v>98</v>
      </c>
      <c r="D20" t="s">
        <v>99</v>
      </c>
      <c r="E20" t="s">
        <v>100</v>
      </c>
      <c r="F20" t="s">
        <v>113</v>
      </c>
      <c r="G20" t="s">
        <v>90</v>
      </c>
      <c r="H20" t="s">
        <v>115</v>
      </c>
      <c r="I20" t="s">
        <v>104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87</v>
      </c>
      <c r="Q20" t="s">
        <v>88</v>
      </c>
      <c r="R20" t="s">
        <v>89</v>
      </c>
      <c r="S20" t="s">
        <v>102</v>
      </c>
      <c r="T20" t="s">
        <v>91</v>
      </c>
      <c r="U20" t="s">
        <v>92</v>
      </c>
      <c r="V20" t="s">
        <v>105</v>
      </c>
      <c r="W20" t="s">
        <v>118</v>
      </c>
      <c r="X20" t="s">
        <v>119</v>
      </c>
      <c r="Y20" t="s">
        <v>108</v>
      </c>
      <c r="Z20" t="s">
        <v>121</v>
      </c>
      <c r="AA20" t="s">
        <v>110</v>
      </c>
      <c r="AB20" t="s">
        <v>126</v>
      </c>
      <c r="AC20" t="s">
        <v>112</v>
      </c>
      <c r="AD20" t="s">
        <v>127</v>
      </c>
      <c r="AE20" t="s">
        <v>114</v>
      </c>
      <c r="AF20" t="s">
        <v>103</v>
      </c>
      <c r="AG20" t="s">
        <v>139</v>
      </c>
      <c r="AH20" t="s">
        <v>117</v>
      </c>
      <c r="AI20" t="s">
        <v>106</v>
      </c>
      <c r="AJ20" t="s">
        <v>107</v>
      </c>
      <c r="AK20" t="s">
        <v>128</v>
      </c>
      <c r="AL20" t="s">
        <v>109</v>
      </c>
      <c r="AM20" t="s">
        <v>90</v>
      </c>
      <c r="AN20" t="s">
        <v>94</v>
      </c>
      <c r="AO20" t="s">
        <v>88</v>
      </c>
      <c r="AP20" t="s">
        <v>115</v>
      </c>
      <c r="AQ20" t="s">
        <v>121</v>
      </c>
      <c r="AR20" t="s">
        <v>93</v>
      </c>
      <c r="AS20" t="s">
        <v>113</v>
      </c>
      <c r="AT20" t="s">
        <v>104</v>
      </c>
      <c r="AU20" t="s">
        <v>100</v>
      </c>
      <c r="AV20" t="s">
        <v>118</v>
      </c>
      <c r="AW20" t="s">
        <v>86</v>
      </c>
      <c r="AX20" t="s">
        <v>97</v>
      </c>
      <c r="AY20" t="s">
        <v>95</v>
      </c>
      <c r="AZ20" t="s">
        <v>92</v>
      </c>
      <c r="BA20" t="s">
        <v>96</v>
      </c>
      <c r="BB20" t="s">
        <v>109</v>
      </c>
      <c r="BC20" t="s">
        <v>94</v>
      </c>
      <c r="BD20" t="s">
        <v>115</v>
      </c>
      <c r="BE20" t="s">
        <v>93</v>
      </c>
      <c r="BF20" t="s">
        <v>90</v>
      </c>
      <c r="BG20" t="s">
        <v>100</v>
      </c>
      <c r="BH20" t="s">
        <v>97</v>
      </c>
      <c r="BI20" t="s">
        <v>96</v>
      </c>
      <c r="BJ20" t="s">
        <v>104</v>
      </c>
      <c r="BK20" t="s">
        <v>94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S20" t="s">
        <v>155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17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15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10.5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4</v>
      </c>
      <c r="CE20">
        <f>IF(BR20='Resultats Reals'!$L$2,5,0)</f>
        <v>0</v>
      </c>
      <c r="CF20" s="7">
        <f>SUM(BU20:CE20)</f>
        <v>46.5</v>
      </c>
    </row>
    <row r="21" spans="1:84" x14ac:dyDescent="0.2">
      <c r="A21" t="s">
        <v>206</v>
      </c>
      <c r="B21" t="s">
        <v>136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207</v>
      </c>
      <c r="T21" t="s">
        <v>115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127</v>
      </c>
      <c r="AE21" t="s">
        <v>102</v>
      </c>
      <c r="AF21" t="s">
        <v>103</v>
      </c>
      <c r="AG21" t="s">
        <v>116</v>
      </c>
      <c r="AH21" t="s">
        <v>117</v>
      </c>
      <c r="AI21" t="s">
        <v>118</v>
      </c>
      <c r="AJ21" t="s">
        <v>119</v>
      </c>
      <c r="AK21" t="s">
        <v>128</v>
      </c>
      <c r="AL21" t="s">
        <v>121</v>
      </c>
      <c r="AM21" t="s">
        <v>90</v>
      </c>
      <c r="AN21" t="s">
        <v>94</v>
      </c>
      <c r="AO21" t="s">
        <v>98</v>
      </c>
      <c r="AP21" t="s">
        <v>100</v>
      </c>
      <c r="AQ21" t="s">
        <v>109</v>
      </c>
      <c r="AR21" t="s">
        <v>93</v>
      </c>
      <c r="AS21" t="s">
        <v>101</v>
      </c>
      <c r="AT21" t="s">
        <v>92</v>
      </c>
      <c r="AU21" t="s">
        <v>88</v>
      </c>
      <c r="AV21" t="s">
        <v>106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94</v>
      </c>
      <c r="BD21" t="s">
        <v>100</v>
      </c>
      <c r="BE21" t="s">
        <v>93</v>
      </c>
      <c r="BF21" t="s">
        <v>92</v>
      </c>
      <c r="BG21" t="s">
        <v>88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95</v>
      </c>
      <c r="BN21" t="s">
        <v>97</v>
      </c>
      <c r="BO21" t="s">
        <v>93</v>
      </c>
      <c r="BP21" t="s">
        <v>97</v>
      </c>
      <c r="BQ21" t="s">
        <v>93</v>
      </c>
      <c r="BR21" s="6" t="s">
        <v>188</v>
      </c>
      <c r="BS21" t="s">
        <v>122</v>
      </c>
      <c r="BT21" t="s">
        <v>155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17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>SUM(BU21:CE21)</f>
        <v>46.5</v>
      </c>
    </row>
    <row r="22" spans="1:84" x14ac:dyDescent="0.2">
      <c r="A22" t="s">
        <v>152</v>
      </c>
      <c r="B22" t="s">
        <v>85</v>
      </c>
      <c r="C22" t="s">
        <v>86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97</v>
      </c>
      <c r="O22" t="s">
        <v>98</v>
      </c>
      <c r="P22" t="s">
        <v>99</v>
      </c>
      <c r="Q22" t="s">
        <v>100</v>
      </c>
      <c r="R22" t="s">
        <v>89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108</v>
      </c>
      <c r="Z22" t="s">
        <v>109</v>
      </c>
      <c r="AA22" t="s">
        <v>110</v>
      </c>
      <c r="AB22" t="s">
        <v>111</v>
      </c>
      <c r="AC22" t="s">
        <v>112</v>
      </c>
      <c r="AD22" t="s">
        <v>127</v>
      </c>
      <c r="AE22" t="s">
        <v>114</v>
      </c>
      <c r="AF22" t="s">
        <v>132</v>
      </c>
      <c r="AG22" t="s">
        <v>139</v>
      </c>
      <c r="AH22" t="s">
        <v>117</v>
      </c>
      <c r="AI22" t="s">
        <v>106</v>
      </c>
      <c r="AJ22" t="s">
        <v>144</v>
      </c>
      <c r="AK22" t="s">
        <v>128</v>
      </c>
      <c r="AL22" t="s">
        <v>145</v>
      </c>
      <c r="AM22" t="s">
        <v>86</v>
      </c>
      <c r="AN22" t="s">
        <v>87</v>
      </c>
      <c r="AO22" t="s">
        <v>88</v>
      </c>
      <c r="AP22" t="s">
        <v>101</v>
      </c>
      <c r="AQ22" t="s">
        <v>90</v>
      </c>
      <c r="AR22" t="s">
        <v>91</v>
      </c>
      <c r="AS22" t="s">
        <v>92</v>
      </c>
      <c r="AT22" t="s">
        <v>93</v>
      </c>
      <c r="AU22" t="s">
        <v>94</v>
      </c>
      <c r="AV22" t="s">
        <v>95</v>
      </c>
      <c r="AW22" t="s">
        <v>96</v>
      </c>
      <c r="AX22" t="s">
        <v>97</v>
      </c>
      <c r="AY22" t="s">
        <v>100</v>
      </c>
      <c r="AZ22" t="s">
        <v>109</v>
      </c>
      <c r="BA22" t="s">
        <v>115</v>
      </c>
      <c r="BB22" t="s">
        <v>118</v>
      </c>
      <c r="BC22" t="s">
        <v>93</v>
      </c>
      <c r="BD22" t="s">
        <v>94</v>
      </c>
      <c r="BE22" t="s">
        <v>100</v>
      </c>
      <c r="BF22" t="s">
        <v>95</v>
      </c>
      <c r="BG22" t="s">
        <v>96</v>
      </c>
      <c r="BH22" t="s">
        <v>88</v>
      </c>
      <c r="BI22" t="s">
        <v>97</v>
      </c>
      <c r="BJ22" t="s">
        <v>90</v>
      </c>
      <c r="BK22" t="s">
        <v>93</v>
      </c>
      <c r="BL22" t="s">
        <v>94</v>
      </c>
      <c r="BM22" t="s">
        <v>88</v>
      </c>
      <c r="BN22" t="s">
        <v>95</v>
      </c>
      <c r="BO22" t="s">
        <v>93</v>
      </c>
      <c r="BP22" t="s">
        <v>94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17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8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4</v>
      </c>
      <c r="CE22">
        <f>IF(BR22='Resultats Reals'!$L$2,5,0)</f>
        <v>0</v>
      </c>
      <c r="CF22" s="7">
        <f>SUM(BU22:CE22)</f>
        <v>46</v>
      </c>
    </row>
    <row r="23" spans="1:84" x14ac:dyDescent="0.2">
      <c r="A23" t="s">
        <v>176</v>
      </c>
      <c r="B23" t="s">
        <v>164</v>
      </c>
      <c r="C23" t="s">
        <v>86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98</v>
      </c>
      <c r="P23" t="s">
        <v>99</v>
      </c>
      <c r="Q23" t="s">
        <v>100</v>
      </c>
      <c r="R23" t="s">
        <v>89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119</v>
      </c>
      <c r="Y23" t="s">
        <v>108</v>
      </c>
      <c r="Z23" t="s">
        <v>109</v>
      </c>
      <c r="AA23" t="s">
        <v>131</v>
      </c>
      <c r="AB23" t="s">
        <v>126</v>
      </c>
      <c r="AC23" t="s">
        <v>112</v>
      </c>
      <c r="AD23" t="s">
        <v>101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107</v>
      </c>
      <c r="AK23" t="s">
        <v>128</v>
      </c>
      <c r="AL23" t="s">
        <v>145</v>
      </c>
      <c r="AM23" t="s">
        <v>90</v>
      </c>
      <c r="AN23" t="s">
        <v>94</v>
      </c>
      <c r="AO23" t="s">
        <v>98</v>
      </c>
      <c r="AP23" t="s">
        <v>100</v>
      </c>
      <c r="AQ23" t="s">
        <v>109</v>
      </c>
      <c r="AR23" t="s">
        <v>93</v>
      </c>
      <c r="AS23" t="s">
        <v>113</v>
      </c>
      <c r="AT23" t="s">
        <v>92</v>
      </c>
      <c r="AU23" t="s">
        <v>88</v>
      </c>
      <c r="AV23" t="s">
        <v>118</v>
      </c>
      <c r="AW23" t="s">
        <v>86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100</v>
      </c>
      <c r="BE23" t="s">
        <v>93</v>
      </c>
      <c r="BF23" t="s">
        <v>92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88</v>
      </c>
      <c r="BN23" t="s">
        <v>95</v>
      </c>
      <c r="BO23" t="s">
        <v>93</v>
      </c>
      <c r="BP23" t="s">
        <v>95</v>
      </c>
      <c r="BQ23" t="s">
        <v>93</v>
      </c>
      <c r="BR23" s="6" t="s">
        <v>177</v>
      </c>
      <c r="BS23" t="s">
        <v>129</v>
      </c>
      <c r="BT23" t="s">
        <v>129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18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9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>SUM(BU23:CE23)</f>
        <v>46</v>
      </c>
    </row>
    <row r="24" spans="1:84" x14ac:dyDescent="0.2">
      <c r="A24" t="s">
        <v>181</v>
      </c>
      <c r="B24" t="s">
        <v>125</v>
      </c>
      <c r="C24" t="s">
        <v>86</v>
      </c>
      <c r="D24" t="s">
        <v>99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131</v>
      </c>
      <c r="P24" t="s">
        <v>126</v>
      </c>
      <c r="Q24" t="s">
        <v>100</v>
      </c>
      <c r="R24" t="s">
        <v>113</v>
      </c>
      <c r="S24" t="s">
        <v>102</v>
      </c>
      <c r="T24" t="s">
        <v>115</v>
      </c>
      <c r="U24" t="s">
        <v>116</v>
      </c>
      <c r="V24" t="s">
        <v>105</v>
      </c>
      <c r="W24" t="s">
        <v>106</v>
      </c>
      <c r="X24" t="s">
        <v>119</v>
      </c>
      <c r="Y24" t="s">
        <v>108</v>
      </c>
      <c r="Z24" t="s">
        <v>109</v>
      </c>
      <c r="AA24" t="s">
        <v>98</v>
      </c>
      <c r="AB24" t="s">
        <v>111</v>
      </c>
      <c r="AC24" t="s">
        <v>112</v>
      </c>
      <c r="AD24" t="s">
        <v>101</v>
      </c>
      <c r="AE24" t="s">
        <v>114</v>
      </c>
      <c r="AF24" t="s">
        <v>103</v>
      </c>
      <c r="AG24" t="s">
        <v>104</v>
      </c>
      <c r="AH24" t="s">
        <v>117</v>
      </c>
      <c r="AI24" t="s">
        <v>118</v>
      </c>
      <c r="AJ24" t="s">
        <v>107</v>
      </c>
      <c r="AK24" t="s">
        <v>128</v>
      </c>
      <c r="AL24" t="s">
        <v>121</v>
      </c>
      <c r="AM24" t="s">
        <v>86</v>
      </c>
      <c r="AN24" t="s">
        <v>99</v>
      </c>
      <c r="AO24" t="s">
        <v>88</v>
      </c>
      <c r="AP24" t="s">
        <v>89</v>
      </c>
      <c r="AQ24" t="s">
        <v>90</v>
      </c>
      <c r="AR24" t="s">
        <v>91</v>
      </c>
      <c r="AS24" t="s">
        <v>92</v>
      </c>
      <c r="AT24" t="s">
        <v>93</v>
      </c>
      <c r="AU24" t="s">
        <v>94</v>
      </c>
      <c r="AV24" t="s">
        <v>95</v>
      </c>
      <c r="AW24" t="s">
        <v>96</v>
      </c>
      <c r="AX24" t="s">
        <v>97</v>
      </c>
      <c r="AY24" t="s">
        <v>108</v>
      </c>
      <c r="AZ24" t="s">
        <v>100</v>
      </c>
      <c r="BA24" t="s">
        <v>118</v>
      </c>
      <c r="BB24" t="s">
        <v>103</v>
      </c>
      <c r="BC24" t="s">
        <v>93</v>
      </c>
      <c r="BD24" t="s">
        <v>94</v>
      </c>
      <c r="BE24" t="s">
        <v>95</v>
      </c>
      <c r="BF24" t="s">
        <v>96</v>
      </c>
      <c r="BG24" t="s">
        <v>88</v>
      </c>
      <c r="BH24" t="s">
        <v>90</v>
      </c>
      <c r="BI24" t="s">
        <v>97</v>
      </c>
      <c r="BJ24" t="s">
        <v>91</v>
      </c>
      <c r="BK24" t="s">
        <v>93</v>
      </c>
      <c r="BL24" t="s">
        <v>94</v>
      </c>
      <c r="BM24" t="s">
        <v>95</v>
      </c>
      <c r="BN24" t="s">
        <v>96</v>
      </c>
      <c r="BO24" t="s">
        <v>93</v>
      </c>
      <c r="BP24" t="s">
        <v>95</v>
      </c>
      <c r="BQ24" t="s">
        <v>95</v>
      </c>
      <c r="BR24" s="6" t="s">
        <v>177</v>
      </c>
      <c r="BS24" t="s">
        <v>122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11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>SUM(BU24:CE24)</f>
        <v>46</v>
      </c>
    </row>
    <row r="25" spans="1:84" x14ac:dyDescent="0.2">
      <c r="A25" t="s">
        <v>187</v>
      </c>
      <c r="B25" t="s">
        <v>85</v>
      </c>
      <c r="C25" t="s">
        <v>86</v>
      </c>
      <c r="D25" t="s">
        <v>87</v>
      </c>
      <c r="E25" t="s">
        <v>88</v>
      </c>
      <c r="F25" t="s">
        <v>101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110</v>
      </c>
      <c r="P25" t="s">
        <v>111</v>
      </c>
      <c r="Q25" t="s">
        <v>100</v>
      </c>
      <c r="R25" t="s">
        <v>113</v>
      </c>
      <c r="S25" t="s">
        <v>102</v>
      </c>
      <c r="T25" t="s">
        <v>115</v>
      </c>
      <c r="U25" t="s">
        <v>104</v>
      </c>
      <c r="V25" t="s">
        <v>105</v>
      </c>
      <c r="W25" t="s">
        <v>118</v>
      </c>
      <c r="X25" t="s">
        <v>107</v>
      </c>
      <c r="Y25" t="s">
        <v>108</v>
      </c>
      <c r="Z25" t="s">
        <v>109</v>
      </c>
      <c r="AA25" t="s">
        <v>98</v>
      </c>
      <c r="AB25" t="s">
        <v>99</v>
      </c>
      <c r="AC25" t="s">
        <v>112</v>
      </c>
      <c r="AD25" t="s">
        <v>89</v>
      </c>
      <c r="AE25" t="s">
        <v>114</v>
      </c>
      <c r="AF25" t="s">
        <v>103</v>
      </c>
      <c r="AG25" t="s">
        <v>116</v>
      </c>
      <c r="AH25" t="s">
        <v>117</v>
      </c>
      <c r="AI25" t="s">
        <v>106</v>
      </c>
      <c r="AJ25" t="s">
        <v>119</v>
      </c>
      <c r="AK25" t="s">
        <v>128</v>
      </c>
      <c r="AL25" t="s">
        <v>121</v>
      </c>
      <c r="AM25" t="s">
        <v>90</v>
      </c>
      <c r="AN25" t="s">
        <v>94</v>
      </c>
      <c r="AO25" t="s">
        <v>110</v>
      </c>
      <c r="AP25" t="s">
        <v>91</v>
      </c>
      <c r="AQ25" t="s">
        <v>108</v>
      </c>
      <c r="AR25" t="s">
        <v>93</v>
      </c>
      <c r="AS25" t="s">
        <v>101</v>
      </c>
      <c r="AT25" t="s">
        <v>92</v>
      </c>
      <c r="AU25" t="s">
        <v>88</v>
      </c>
      <c r="AV25" t="s">
        <v>118</v>
      </c>
      <c r="AW25" t="s">
        <v>112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91</v>
      </c>
      <c r="BE25" t="s">
        <v>93</v>
      </c>
      <c r="BF25" t="s">
        <v>101</v>
      </c>
      <c r="BG25" t="s">
        <v>88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97</v>
      </c>
      <c r="BN25" t="s">
        <v>96</v>
      </c>
      <c r="BO25" t="s">
        <v>93</v>
      </c>
      <c r="BP25" t="s">
        <v>96</v>
      </c>
      <c r="BQ25" t="s">
        <v>93</v>
      </c>
      <c r="BR25" s="6" t="s">
        <v>188</v>
      </c>
      <c r="BS25" t="s">
        <v>122</v>
      </c>
      <c r="BT25" t="s">
        <v>123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17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2</v>
      </c>
      <c r="CE25">
        <f>IF(BR25='Resultats Reals'!$L$2,5,0)</f>
        <v>0</v>
      </c>
      <c r="CF25" s="7">
        <f>SUM(BU25:CE25)</f>
        <v>46</v>
      </c>
    </row>
    <row r="26" spans="1:84" x14ac:dyDescent="0.2">
      <c r="A26" t="s">
        <v>192</v>
      </c>
      <c r="B26" t="s">
        <v>85</v>
      </c>
      <c r="C26" t="s">
        <v>86</v>
      </c>
      <c r="D26" t="s">
        <v>87</v>
      </c>
      <c r="E26" t="s">
        <v>100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88</v>
      </c>
      <c r="R26" t="s">
        <v>89</v>
      </c>
      <c r="S26" t="s">
        <v>114</v>
      </c>
      <c r="T26" t="s">
        <v>115</v>
      </c>
      <c r="U26" t="s">
        <v>104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110</v>
      </c>
      <c r="AB26" t="s">
        <v>111</v>
      </c>
      <c r="AC26" t="s">
        <v>112</v>
      </c>
      <c r="AD26" t="s">
        <v>113</v>
      </c>
      <c r="AE26" t="s">
        <v>102</v>
      </c>
      <c r="AF26" t="s">
        <v>103</v>
      </c>
      <c r="AG26" t="s">
        <v>116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99</v>
      </c>
      <c r="AN26" t="s">
        <v>100</v>
      </c>
      <c r="AO26" t="s">
        <v>90</v>
      </c>
      <c r="AP26" t="s">
        <v>88</v>
      </c>
      <c r="AQ26" t="s">
        <v>114</v>
      </c>
      <c r="AR26" t="s">
        <v>94</v>
      </c>
      <c r="AS26" t="s">
        <v>118</v>
      </c>
      <c r="AT26" t="s">
        <v>97</v>
      </c>
      <c r="AU26" t="s">
        <v>92</v>
      </c>
      <c r="AV26" t="s">
        <v>101</v>
      </c>
      <c r="AW26" t="s">
        <v>93</v>
      </c>
      <c r="AX26" t="s">
        <v>108</v>
      </c>
      <c r="AY26" t="s">
        <v>87</v>
      </c>
      <c r="AZ26" t="s">
        <v>89</v>
      </c>
      <c r="BA26" t="s">
        <v>95</v>
      </c>
      <c r="BB26" t="s">
        <v>96</v>
      </c>
      <c r="BC26" t="s">
        <v>90</v>
      </c>
      <c r="BD26" t="s">
        <v>100</v>
      </c>
      <c r="BE26" t="s">
        <v>94</v>
      </c>
      <c r="BF26" t="s">
        <v>97</v>
      </c>
      <c r="BG26" t="s">
        <v>93</v>
      </c>
      <c r="BH26" t="s">
        <v>92</v>
      </c>
      <c r="BI26" t="s">
        <v>96</v>
      </c>
      <c r="BJ26" t="s">
        <v>95</v>
      </c>
      <c r="BK26" t="s">
        <v>90</v>
      </c>
      <c r="BL26" t="s">
        <v>93</v>
      </c>
      <c r="BM26" t="s">
        <v>94</v>
      </c>
      <c r="BN26" t="s">
        <v>96</v>
      </c>
      <c r="BO26" t="s">
        <v>93</v>
      </c>
      <c r="BP26" t="s">
        <v>94</v>
      </c>
      <c r="BQ26" t="s">
        <v>93</v>
      </c>
      <c r="BS26" t="s">
        <v>122</v>
      </c>
      <c r="BT26" t="s">
        <v>155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16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>SUM(BU26:CE26)</f>
        <v>46</v>
      </c>
    </row>
    <row r="27" spans="1:84" x14ac:dyDescent="0.2">
      <c r="A27" t="s">
        <v>84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103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111</v>
      </c>
      <c r="AC27" t="s">
        <v>112</v>
      </c>
      <c r="AD27" t="s">
        <v>113</v>
      </c>
      <c r="AE27" t="s">
        <v>114</v>
      </c>
      <c r="AF27" t="s">
        <v>115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90</v>
      </c>
      <c r="BE27" t="s">
        <v>94</v>
      </c>
      <c r="BF27" t="s">
        <v>97</v>
      </c>
      <c r="BG27" t="s">
        <v>92</v>
      </c>
      <c r="BH27" t="s">
        <v>93</v>
      </c>
      <c r="BI27" t="s">
        <v>87</v>
      </c>
      <c r="BJ27" t="s">
        <v>95</v>
      </c>
      <c r="BK27" t="s">
        <v>90</v>
      </c>
      <c r="BL27" t="s">
        <v>97</v>
      </c>
      <c r="BM27" t="s">
        <v>93</v>
      </c>
      <c r="BN27" t="s">
        <v>95</v>
      </c>
      <c r="BO27" t="s">
        <v>97</v>
      </c>
      <c r="BP27" t="s">
        <v>93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19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>SUM(BU27:CE27)</f>
        <v>45.5</v>
      </c>
    </row>
    <row r="28" spans="1:84" x14ac:dyDescent="0.2">
      <c r="A28" t="s">
        <v>147</v>
      </c>
      <c r="B28" t="s">
        <v>148</v>
      </c>
      <c r="C28" t="s">
        <v>86</v>
      </c>
      <c r="D28" t="s">
        <v>87</v>
      </c>
      <c r="E28" t="s">
        <v>100</v>
      </c>
      <c r="F28" t="s">
        <v>101</v>
      </c>
      <c r="G28" t="s">
        <v>102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99</v>
      </c>
      <c r="Q28" t="s">
        <v>88</v>
      </c>
      <c r="R28" t="s">
        <v>89</v>
      </c>
      <c r="S28" t="s">
        <v>90</v>
      </c>
      <c r="T28" t="s">
        <v>115</v>
      </c>
      <c r="U28" t="s">
        <v>104</v>
      </c>
      <c r="V28" t="s">
        <v>105</v>
      </c>
      <c r="W28" t="s">
        <v>106</v>
      </c>
      <c r="X28" t="s">
        <v>107</v>
      </c>
      <c r="Y28" t="s">
        <v>108</v>
      </c>
      <c r="Z28" t="s">
        <v>109</v>
      </c>
      <c r="AA28" t="s">
        <v>110</v>
      </c>
      <c r="AB28" t="s">
        <v>111</v>
      </c>
      <c r="AC28" t="s">
        <v>112</v>
      </c>
      <c r="AD28" t="s">
        <v>127</v>
      </c>
      <c r="AE28" t="s">
        <v>114</v>
      </c>
      <c r="AF28" t="s">
        <v>103</v>
      </c>
      <c r="AG28" t="s">
        <v>116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102</v>
      </c>
      <c r="AN28" t="s">
        <v>94</v>
      </c>
      <c r="AO28" t="s">
        <v>99</v>
      </c>
      <c r="AP28" t="s">
        <v>88</v>
      </c>
      <c r="AQ28" t="s">
        <v>108</v>
      </c>
      <c r="AR28" t="s">
        <v>93</v>
      </c>
      <c r="AS28" t="s">
        <v>101</v>
      </c>
      <c r="AT28" t="s">
        <v>92</v>
      </c>
      <c r="AU28" t="s">
        <v>100</v>
      </c>
      <c r="AV28" t="s">
        <v>90</v>
      </c>
      <c r="AW28" t="s">
        <v>86</v>
      </c>
      <c r="AX28" t="s">
        <v>97</v>
      </c>
      <c r="AY28" t="s">
        <v>95</v>
      </c>
      <c r="AZ28" t="s">
        <v>104</v>
      </c>
      <c r="BA28" t="s">
        <v>87</v>
      </c>
      <c r="BB28" t="s">
        <v>96</v>
      </c>
      <c r="BC28" t="s">
        <v>94</v>
      </c>
      <c r="BD28" t="s">
        <v>88</v>
      </c>
      <c r="BE28" t="s">
        <v>93</v>
      </c>
      <c r="BF28" t="s">
        <v>101</v>
      </c>
      <c r="BG28" t="s">
        <v>100</v>
      </c>
      <c r="BH28" t="s">
        <v>97</v>
      </c>
      <c r="BI28" t="s">
        <v>95</v>
      </c>
      <c r="BJ28" t="s">
        <v>96</v>
      </c>
      <c r="BK28" t="s">
        <v>94</v>
      </c>
      <c r="BL28" t="s">
        <v>93</v>
      </c>
      <c r="BM28" t="s">
        <v>100</v>
      </c>
      <c r="BN28" t="s">
        <v>96</v>
      </c>
      <c r="BO28" t="s">
        <v>93</v>
      </c>
      <c r="BP28" t="s">
        <v>96</v>
      </c>
      <c r="BQ28" t="s">
        <v>93</v>
      </c>
      <c r="BR28" s="6" t="s">
        <v>149</v>
      </c>
      <c r="BS28" t="s">
        <v>122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15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>SUM(BU28:CE28)</f>
        <v>45.5</v>
      </c>
    </row>
    <row r="29" spans="1:84" x14ac:dyDescent="0.2">
      <c r="A29" t="s">
        <v>159</v>
      </c>
      <c r="B29" t="s">
        <v>136</v>
      </c>
      <c r="C29" t="s">
        <v>86</v>
      </c>
      <c r="D29" t="s">
        <v>87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108</v>
      </c>
      <c r="N29" t="s">
        <v>97</v>
      </c>
      <c r="O29" t="s">
        <v>110</v>
      </c>
      <c r="P29" t="s">
        <v>99</v>
      </c>
      <c r="Q29" t="s">
        <v>100</v>
      </c>
      <c r="R29" t="s">
        <v>101</v>
      </c>
      <c r="S29" t="s">
        <v>102</v>
      </c>
      <c r="T29" t="s">
        <v>115</v>
      </c>
      <c r="U29" t="s">
        <v>104</v>
      </c>
      <c r="V29" t="s">
        <v>105</v>
      </c>
      <c r="W29" t="s">
        <v>118</v>
      </c>
      <c r="X29" t="s">
        <v>107</v>
      </c>
      <c r="Y29" t="s">
        <v>96</v>
      </c>
      <c r="Z29" t="s">
        <v>109</v>
      </c>
      <c r="AA29" t="s">
        <v>98</v>
      </c>
      <c r="AB29" t="s">
        <v>111</v>
      </c>
      <c r="AC29" t="s">
        <v>112</v>
      </c>
      <c r="AD29" t="s">
        <v>113</v>
      </c>
      <c r="AE29" t="s">
        <v>114</v>
      </c>
      <c r="AF29" t="s">
        <v>103</v>
      </c>
      <c r="AG29" t="s">
        <v>139</v>
      </c>
      <c r="AH29" t="s">
        <v>117</v>
      </c>
      <c r="AI29" t="s">
        <v>106</v>
      </c>
      <c r="AJ29" t="s">
        <v>119</v>
      </c>
      <c r="AK29" t="s">
        <v>128</v>
      </c>
      <c r="AL29" t="s">
        <v>145</v>
      </c>
      <c r="AM29" t="s">
        <v>88</v>
      </c>
      <c r="AN29" t="s">
        <v>95</v>
      </c>
      <c r="AO29" t="s">
        <v>93</v>
      </c>
      <c r="AP29" t="s">
        <v>100</v>
      </c>
      <c r="AQ29" t="s">
        <v>108</v>
      </c>
      <c r="AR29" t="s">
        <v>94</v>
      </c>
      <c r="AS29" t="s">
        <v>90</v>
      </c>
      <c r="AT29" t="s">
        <v>96</v>
      </c>
      <c r="AU29" t="s">
        <v>97</v>
      </c>
      <c r="AV29" t="s">
        <v>91</v>
      </c>
      <c r="AW29" t="s">
        <v>92</v>
      </c>
      <c r="AX29" t="s">
        <v>105</v>
      </c>
      <c r="AY29" t="s">
        <v>115</v>
      </c>
      <c r="AZ29" t="s">
        <v>109</v>
      </c>
      <c r="BA29" t="s">
        <v>89</v>
      </c>
      <c r="BB29" t="s">
        <v>86</v>
      </c>
      <c r="BC29" t="s">
        <v>95</v>
      </c>
      <c r="BD29" t="s">
        <v>94</v>
      </c>
      <c r="BE29" t="s">
        <v>93</v>
      </c>
      <c r="BF29" t="s">
        <v>91</v>
      </c>
      <c r="BG29" t="s">
        <v>97</v>
      </c>
      <c r="BH29" t="s">
        <v>88</v>
      </c>
      <c r="BI29" t="s">
        <v>96</v>
      </c>
      <c r="BJ29" t="s">
        <v>105</v>
      </c>
      <c r="BK29" t="s">
        <v>95</v>
      </c>
      <c r="BL29" t="s">
        <v>94</v>
      </c>
      <c r="BM29" t="s">
        <v>91</v>
      </c>
      <c r="BN29" t="s">
        <v>93</v>
      </c>
      <c r="BO29" t="s">
        <v>93</v>
      </c>
      <c r="BP29" t="s">
        <v>95</v>
      </c>
      <c r="BQ29" t="s">
        <v>93</v>
      </c>
      <c r="BS29" t="s">
        <v>151</v>
      </c>
      <c r="BT29" t="s">
        <v>146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10.5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0</v>
      </c>
      <c r="CE29">
        <f>IF(BR29='Resultats Reals'!$L$2,5,0)</f>
        <v>0</v>
      </c>
      <c r="CF29" s="7">
        <f>SUM(BU29:CE29)</f>
        <v>45.5</v>
      </c>
    </row>
    <row r="30" spans="1:84" x14ac:dyDescent="0.2">
      <c r="A30" t="s">
        <v>178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102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111</v>
      </c>
      <c r="Q30" t="s">
        <v>100</v>
      </c>
      <c r="R30" t="s">
        <v>113</v>
      </c>
      <c r="S30" t="s">
        <v>90</v>
      </c>
      <c r="T30" t="s">
        <v>115</v>
      </c>
      <c r="U30" t="s">
        <v>104</v>
      </c>
      <c r="V30" t="s">
        <v>105</v>
      </c>
      <c r="W30" t="s">
        <v>118</v>
      </c>
      <c r="X30" t="s">
        <v>107</v>
      </c>
      <c r="Y30" t="s">
        <v>108</v>
      </c>
      <c r="Z30" t="s">
        <v>109</v>
      </c>
      <c r="AA30" t="s">
        <v>98</v>
      </c>
      <c r="AB30" t="s">
        <v>99</v>
      </c>
      <c r="AC30" t="s">
        <v>112</v>
      </c>
      <c r="AD30" t="s">
        <v>89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119</v>
      </c>
      <c r="AK30" t="s">
        <v>128</v>
      </c>
      <c r="AL30" t="s">
        <v>121</v>
      </c>
      <c r="AM30" t="s">
        <v>102</v>
      </c>
      <c r="AN30" t="s">
        <v>94</v>
      </c>
      <c r="AO30" t="s">
        <v>111</v>
      </c>
      <c r="AP30" t="s">
        <v>91</v>
      </c>
      <c r="AQ30" t="s">
        <v>108</v>
      </c>
      <c r="AR30" t="s">
        <v>93</v>
      </c>
      <c r="AS30" t="s">
        <v>101</v>
      </c>
      <c r="AT30" t="s">
        <v>106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113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106</v>
      </c>
      <c r="BG30" t="s">
        <v>118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96</v>
      </c>
      <c r="BO30" t="s">
        <v>93</v>
      </c>
      <c r="BP30" t="s">
        <v>96</v>
      </c>
      <c r="BQ30" t="s">
        <v>93</v>
      </c>
      <c r="BS30" t="s">
        <v>122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16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15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12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>SUM(BU30:CE30)</f>
        <v>45</v>
      </c>
    </row>
    <row r="31" spans="1:84" x14ac:dyDescent="0.2">
      <c r="A31" t="s">
        <v>179</v>
      </c>
      <c r="B31" t="s">
        <v>125</v>
      </c>
      <c r="C31" t="s">
        <v>86</v>
      </c>
      <c r="D31" t="s">
        <v>87</v>
      </c>
      <c r="E31" t="s">
        <v>100</v>
      </c>
      <c r="F31" t="s">
        <v>101</v>
      </c>
      <c r="G31" t="s">
        <v>90</v>
      </c>
      <c r="H31" t="s">
        <v>103</v>
      </c>
      <c r="I31" t="s">
        <v>104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99</v>
      </c>
      <c r="Q31" t="s">
        <v>88</v>
      </c>
      <c r="R31" t="s">
        <v>89</v>
      </c>
      <c r="S31" t="s">
        <v>102</v>
      </c>
      <c r="T31" t="s">
        <v>91</v>
      </c>
      <c r="U31" t="s">
        <v>92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126</v>
      </c>
      <c r="AC31" t="s">
        <v>112</v>
      </c>
      <c r="AD31" t="s">
        <v>113</v>
      </c>
      <c r="AE31" t="s">
        <v>114</v>
      </c>
      <c r="AF31" t="s">
        <v>115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93</v>
      </c>
      <c r="AN31" t="s">
        <v>94</v>
      </c>
      <c r="AO31" t="s">
        <v>97</v>
      </c>
      <c r="AP31" t="s">
        <v>88</v>
      </c>
      <c r="AQ31" t="s">
        <v>96</v>
      </c>
      <c r="AR31" t="s">
        <v>95</v>
      </c>
      <c r="AS31" t="s">
        <v>90</v>
      </c>
      <c r="AT31" t="s">
        <v>91</v>
      </c>
      <c r="AU31" t="s">
        <v>101</v>
      </c>
      <c r="AV31" t="s">
        <v>108</v>
      </c>
      <c r="AW31" t="s">
        <v>105</v>
      </c>
      <c r="AX31" t="s">
        <v>100</v>
      </c>
      <c r="AY31" t="s">
        <v>89</v>
      </c>
      <c r="AZ31" t="s">
        <v>103</v>
      </c>
      <c r="BA31" t="s">
        <v>86</v>
      </c>
      <c r="BB31" t="s">
        <v>109</v>
      </c>
      <c r="BC31" t="s">
        <v>93</v>
      </c>
      <c r="BD31" t="s">
        <v>94</v>
      </c>
      <c r="BE31" t="s">
        <v>97</v>
      </c>
      <c r="BF31" t="s">
        <v>88</v>
      </c>
      <c r="BG31" t="s">
        <v>96</v>
      </c>
      <c r="BH31" t="s">
        <v>95</v>
      </c>
      <c r="BI31" t="s">
        <v>108</v>
      </c>
      <c r="BJ31" t="s">
        <v>100</v>
      </c>
      <c r="BK31" t="s">
        <v>93</v>
      </c>
      <c r="BL31" t="s">
        <v>94</v>
      </c>
      <c r="BM31" t="s">
        <v>95</v>
      </c>
      <c r="BN31" t="s">
        <v>100</v>
      </c>
      <c r="BO31" t="s">
        <v>95</v>
      </c>
      <c r="BP31" t="s">
        <v>94</v>
      </c>
      <c r="BQ31" t="s">
        <v>94</v>
      </c>
      <c r="BS31" t="s">
        <v>180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16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14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11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>SUM(BU31:CE31)</f>
        <v>45</v>
      </c>
    </row>
    <row r="32" spans="1:84" x14ac:dyDescent="0.2">
      <c r="A32" t="s">
        <v>156</v>
      </c>
      <c r="B32" t="s">
        <v>136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126</v>
      </c>
      <c r="Q32" t="s">
        <v>100</v>
      </c>
      <c r="R32" t="s">
        <v>101</v>
      </c>
      <c r="S32" t="s">
        <v>102</v>
      </c>
      <c r="T32" t="s">
        <v>115</v>
      </c>
      <c r="U32" t="s">
        <v>104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110</v>
      </c>
      <c r="AB32" t="s">
        <v>99</v>
      </c>
      <c r="AC32" t="s">
        <v>112</v>
      </c>
      <c r="AD32" t="s">
        <v>127</v>
      </c>
      <c r="AE32" t="s">
        <v>114</v>
      </c>
      <c r="AF32" t="s">
        <v>103</v>
      </c>
      <c r="AG32" t="s">
        <v>116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100</v>
      </c>
      <c r="AO32" t="s">
        <v>88</v>
      </c>
      <c r="AP32" t="s">
        <v>89</v>
      </c>
      <c r="AQ32" t="s">
        <v>90</v>
      </c>
      <c r="AR32" t="s">
        <v>91</v>
      </c>
      <c r="AS32" t="s">
        <v>92</v>
      </c>
      <c r="AT32" t="s">
        <v>93</v>
      </c>
      <c r="AU32" t="s">
        <v>94</v>
      </c>
      <c r="AV32" t="s">
        <v>95</v>
      </c>
      <c r="AW32" t="s">
        <v>96</v>
      </c>
      <c r="AX32" t="s">
        <v>97</v>
      </c>
      <c r="AY32" t="s">
        <v>115</v>
      </c>
      <c r="AZ32" t="s">
        <v>105</v>
      </c>
      <c r="BA32" t="s">
        <v>108</v>
      </c>
      <c r="BB32" t="s">
        <v>109</v>
      </c>
      <c r="BC32" t="s">
        <v>88</v>
      </c>
      <c r="BD32" t="s">
        <v>90</v>
      </c>
      <c r="BE32" t="s">
        <v>91</v>
      </c>
      <c r="BF32" t="s">
        <v>93</v>
      </c>
      <c r="BG32" t="s">
        <v>94</v>
      </c>
      <c r="BH32" t="s">
        <v>95</v>
      </c>
      <c r="BI32" t="s">
        <v>96</v>
      </c>
      <c r="BJ32" t="s">
        <v>97</v>
      </c>
      <c r="BK32" t="s">
        <v>88</v>
      </c>
      <c r="BL32" t="s">
        <v>93</v>
      </c>
      <c r="BM32" t="s">
        <v>95</v>
      </c>
      <c r="BN32" t="s">
        <v>97</v>
      </c>
      <c r="BO32" t="s">
        <v>93</v>
      </c>
      <c r="BP32" t="s">
        <v>95</v>
      </c>
      <c r="BQ32" t="s">
        <v>93</v>
      </c>
      <c r="BS32" t="s">
        <v>122</v>
      </c>
      <c r="BT32" t="s">
        <v>122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19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13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12.5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0</v>
      </c>
      <c r="CE32">
        <f>IF(BR32='Resultats Reals'!$L$2,5,0)</f>
        <v>0</v>
      </c>
      <c r="CF32" s="7">
        <f>SUM(BU32:CE32)</f>
        <v>44.5</v>
      </c>
    </row>
    <row r="33" spans="1:84" x14ac:dyDescent="0.2">
      <c r="A33" t="s">
        <v>166</v>
      </c>
      <c r="B33" t="s">
        <v>136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108</v>
      </c>
      <c r="N33" t="s">
        <v>97</v>
      </c>
      <c r="O33" t="s">
        <v>110</v>
      </c>
      <c r="P33" t="s">
        <v>99</v>
      </c>
      <c r="Q33" t="s">
        <v>100</v>
      </c>
      <c r="R33" t="s">
        <v>113</v>
      </c>
      <c r="S33" t="s">
        <v>114</v>
      </c>
      <c r="T33" t="s">
        <v>103</v>
      </c>
      <c r="U33" t="s">
        <v>139</v>
      </c>
      <c r="V33" t="s">
        <v>105</v>
      </c>
      <c r="W33" t="s">
        <v>106</v>
      </c>
      <c r="X33" t="s">
        <v>107</v>
      </c>
      <c r="Y33" t="s">
        <v>96</v>
      </c>
      <c r="Z33" t="s">
        <v>109</v>
      </c>
      <c r="AA33" t="s">
        <v>98</v>
      </c>
      <c r="AB33" t="s">
        <v>111</v>
      </c>
      <c r="AC33" t="s">
        <v>112</v>
      </c>
      <c r="AD33" t="s">
        <v>89</v>
      </c>
      <c r="AE33" t="s">
        <v>102</v>
      </c>
      <c r="AF33" t="s">
        <v>115</v>
      </c>
      <c r="AG33" t="s">
        <v>104</v>
      </c>
      <c r="AH33" t="s">
        <v>117</v>
      </c>
      <c r="AI33" t="s">
        <v>118</v>
      </c>
      <c r="AJ33" t="s">
        <v>119</v>
      </c>
      <c r="AK33" t="s">
        <v>128</v>
      </c>
      <c r="AL33" t="s">
        <v>121</v>
      </c>
      <c r="AM33" t="s">
        <v>86</v>
      </c>
      <c r="AN33" t="s">
        <v>100</v>
      </c>
      <c r="AO33" t="s">
        <v>90</v>
      </c>
      <c r="AP33" t="s">
        <v>96</v>
      </c>
      <c r="AQ33" t="s">
        <v>94</v>
      </c>
      <c r="AR33" t="s">
        <v>105</v>
      </c>
      <c r="AS33" t="s">
        <v>92</v>
      </c>
      <c r="AT33" t="s">
        <v>87</v>
      </c>
      <c r="AU33" t="s">
        <v>88</v>
      </c>
      <c r="AV33" t="s">
        <v>91</v>
      </c>
      <c r="AW33" t="s">
        <v>93</v>
      </c>
      <c r="AX33" t="s">
        <v>95</v>
      </c>
      <c r="AY33" t="s">
        <v>103</v>
      </c>
      <c r="AZ33" t="s">
        <v>97</v>
      </c>
      <c r="BA33" t="s">
        <v>99</v>
      </c>
      <c r="BB33" t="s">
        <v>108</v>
      </c>
      <c r="BC33" t="s">
        <v>86</v>
      </c>
      <c r="BD33" t="s">
        <v>90</v>
      </c>
      <c r="BE33" t="s">
        <v>94</v>
      </c>
      <c r="BF33" t="s">
        <v>92</v>
      </c>
      <c r="BG33" t="s">
        <v>88</v>
      </c>
      <c r="BH33" t="s">
        <v>91</v>
      </c>
      <c r="BI33" t="s">
        <v>95</v>
      </c>
      <c r="BJ33" t="s">
        <v>97</v>
      </c>
      <c r="BK33" t="s">
        <v>90</v>
      </c>
      <c r="BL33" t="s">
        <v>94</v>
      </c>
      <c r="BM33" t="s">
        <v>88</v>
      </c>
      <c r="BN33" t="s">
        <v>95</v>
      </c>
      <c r="BO33" t="s">
        <v>90</v>
      </c>
      <c r="BP33" t="s">
        <v>88</v>
      </c>
      <c r="BQ33" t="s">
        <v>88</v>
      </c>
      <c r="BS33" t="s">
        <v>167</v>
      </c>
      <c r="BT33" t="s">
        <v>167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18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13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11.5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>SUM(BU33:CE33)</f>
        <v>44.5</v>
      </c>
    </row>
    <row r="34" spans="1:84" x14ac:dyDescent="0.2">
      <c r="A34" t="s">
        <v>170</v>
      </c>
      <c r="B34" t="s">
        <v>136</v>
      </c>
      <c r="C34" t="s">
        <v>98</v>
      </c>
      <c r="D34" t="s">
        <v>87</v>
      </c>
      <c r="E34" t="s">
        <v>88</v>
      </c>
      <c r="F34" t="s">
        <v>113</v>
      </c>
      <c r="G34" t="s">
        <v>90</v>
      </c>
      <c r="H34" t="s">
        <v>91</v>
      </c>
      <c r="I34" t="s">
        <v>104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110</v>
      </c>
      <c r="P34" t="s">
        <v>111</v>
      </c>
      <c r="Q34" t="s">
        <v>100</v>
      </c>
      <c r="R34" t="s">
        <v>101</v>
      </c>
      <c r="S34" t="s">
        <v>102</v>
      </c>
      <c r="T34" t="s">
        <v>115</v>
      </c>
      <c r="U34" t="s">
        <v>92</v>
      </c>
      <c r="V34" t="s">
        <v>105</v>
      </c>
      <c r="W34" t="s">
        <v>118</v>
      </c>
      <c r="X34" t="s">
        <v>119</v>
      </c>
      <c r="Y34" t="s">
        <v>96</v>
      </c>
      <c r="Z34" t="s">
        <v>97</v>
      </c>
      <c r="AA34" t="s">
        <v>131</v>
      </c>
      <c r="AB34" t="s">
        <v>99</v>
      </c>
      <c r="AC34" t="s">
        <v>171</v>
      </c>
      <c r="AD34" t="s">
        <v>89</v>
      </c>
      <c r="AE34" t="s">
        <v>114</v>
      </c>
      <c r="AF34" t="s">
        <v>103</v>
      </c>
      <c r="AG34" t="s">
        <v>139</v>
      </c>
      <c r="AH34" t="s">
        <v>143</v>
      </c>
      <c r="AI34" t="s">
        <v>106</v>
      </c>
      <c r="AJ34" t="s">
        <v>107</v>
      </c>
      <c r="AK34" t="s">
        <v>128</v>
      </c>
      <c r="AL34" t="s">
        <v>121</v>
      </c>
      <c r="AM34" t="s">
        <v>98</v>
      </c>
      <c r="AN34" t="s">
        <v>105</v>
      </c>
      <c r="AO34" t="s">
        <v>88</v>
      </c>
      <c r="AP34" t="s">
        <v>113</v>
      </c>
      <c r="AQ34" t="s">
        <v>90</v>
      </c>
      <c r="AR34" t="s">
        <v>91</v>
      </c>
      <c r="AS34" t="s">
        <v>104</v>
      </c>
      <c r="AT34" t="s">
        <v>93</v>
      </c>
      <c r="AU34" t="s">
        <v>94</v>
      </c>
      <c r="AV34" t="s">
        <v>95</v>
      </c>
      <c r="AW34" t="s">
        <v>108</v>
      </c>
      <c r="AX34" t="s">
        <v>109</v>
      </c>
      <c r="AY34" t="s">
        <v>96</v>
      </c>
      <c r="AZ34" t="s">
        <v>97</v>
      </c>
      <c r="BA34" t="s">
        <v>118</v>
      </c>
      <c r="BB34" t="s">
        <v>100</v>
      </c>
      <c r="BC34" t="s">
        <v>93</v>
      </c>
      <c r="BD34" t="s">
        <v>94</v>
      </c>
      <c r="BE34" t="s">
        <v>88</v>
      </c>
      <c r="BF34" t="s">
        <v>90</v>
      </c>
      <c r="BG34" t="s">
        <v>95</v>
      </c>
      <c r="BH34" t="s">
        <v>118</v>
      </c>
      <c r="BI34" t="s">
        <v>109</v>
      </c>
      <c r="BJ34" t="s">
        <v>91</v>
      </c>
      <c r="BK34" t="s">
        <v>93</v>
      </c>
      <c r="BL34" t="s">
        <v>94</v>
      </c>
      <c r="BM34" t="s">
        <v>95</v>
      </c>
      <c r="BN34" t="s">
        <v>88</v>
      </c>
      <c r="BO34" t="s">
        <v>93</v>
      </c>
      <c r="BP34" t="s">
        <v>95</v>
      </c>
      <c r="BQ34" t="s">
        <v>93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17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10.5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>SUM(BU34:CE34)</f>
        <v>44.5</v>
      </c>
    </row>
    <row r="35" spans="1:84" x14ac:dyDescent="0.2">
      <c r="A35" t="s">
        <v>153</v>
      </c>
      <c r="B35" t="s">
        <v>148</v>
      </c>
      <c r="C35" t="s">
        <v>98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109</v>
      </c>
      <c r="O35" t="s">
        <v>110</v>
      </c>
      <c r="P35" t="s">
        <v>111</v>
      </c>
      <c r="Q35" t="s">
        <v>100</v>
      </c>
      <c r="R35" t="s">
        <v>113</v>
      </c>
      <c r="S35" t="s">
        <v>102</v>
      </c>
      <c r="T35" t="s">
        <v>103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97</v>
      </c>
      <c r="AA35" t="s">
        <v>86</v>
      </c>
      <c r="AB35" t="s">
        <v>99</v>
      </c>
      <c r="AC35" t="s">
        <v>112</v>
      </c>
      <c r="AD35" t="s">
        <v>89</v>
      </c>
      <c r="AE35" t="s">
        <v>114</v>
      </c>
      <c r="AF35" t="s">
        <v>115</v>
      </c>
      <c r="AG35" t="s">
        <v>116</v>
      </c>
      <c r="AH35" t="s">
        <v>117</v>
      </c>
      <c r="AI35" t="s">
        <v>106</v>
      </c>
      <c r="AJ35" t="s">
        <v>119</v>
      </c>
      <c r="AK35" t="s">
        <v>128</v>
      </c>
      <c r="AL35" t="s">
        <v>121</v>
      </c>
      <c r="AM35" t="s">
        <v>102</v>
      </c>
      <c r="AN35" t="s">
        <v>93</v>
      </c>
      <c r="AO35" t="s">
        <v>115</v>
      </c>
      <c r="AP35" t="s">
        <v>88</v>
      </c>
      <c r="AQ35" t="s">
        <v>100</v>
      </c>
      <c r="AR35" t="s">
        <v>98</v>
      </c>
      <c r="AS35" t="s">
        <v>90</v>
      </c>
      <c r="AT35" t="s">
        <v>91</v>
      </c>
      <c r="AU35" t="s">
        <v>92</v>
      </c>
      <c r="AV35" t="s">
        <v>105</v>
      </c>
      <c r="AW35" t="s">
        <v>94</v>
      </c>
      <c r="AX35" t="s">
        <v>95</v>
      </c>
      <c r="AY35" t="s">
        <v>96</v>
      </c>
      <c r="AZ35" t="s">
        <v>108</v>
      </c>
      <c r="BA35" t="s">
        <v>97</v>
      </c>
      <c r="BB35" t="s">
        <v>109</v>
      </c>
      <c r="BC35" t="s">
        <v>94</v>
      </c>
      <c r="BD35" t="s">
        <v>88</v>
      </c>
      <c r="BE35" t="s">
        <v>93</v>
      </c>
      <c r="BF35" t="s">
        <v>92</v>
      </c>
      <c r="BG35" t="s">
        <v>95</v>
      </c>
      <c r="BH35" t="s">
        <v>115</v>
      </c>
      <c r="BI35" t="s">
        <v>91</v>
      </c>
      <c r="BJ35" t="s">
        <v>102</v>
      </c>
      <c r="BK35" t="s">
        <v>94</v>
      </c>
      <c r="BL35" t="s">
        <v>88</v>
      </c>
      <c r="BM35" t="s">
        <v>93</v>
      </c>
      <c r="BN35" t="s">
        <v>95</v>
      </c>
      <c r="BO35" t="s">
        <v>88</v>
      </c>
      <c r="BP35" t="s">
        <v>94</v>
      </c>
      <c r="BQ35" t="s">
        <v>94</v>
      </c>
      <c r="BS35" t="s">
        <v>146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14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15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11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>SUM(BU35:CE35)</f>
        <v>44</v>
      </c>
    </row>
    <row r="36" spans="1:84" x14ac:dyDescent="0.2">
      <c r="A36" t="s">
        <v>168</v>
      </c>
      <c r="B36" t="s">
        <v>85</v>
      </c>
      <c r="C36" t="s">
        <v>86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100</v>
      </c>
      <c r="R36" t="s">
        <v>89</v>
      </c>
      <c r="S36" t="s">
        <v>102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98</v>
      </c>
      <c r="AB36" t="s">
        <v>111</v>
      </c>
      <c r="AC36" t="s">
        <v>112</v>
      </c>
      <c r="AD36" t="s">
        <v>127</v>
      </c>
      <c r="AE36" t="s">
        <v>114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120</v>
      </c>
      <c r="AL36" t="s">
        <v>121</v>
      </c>
      <c r="AM36" t="s">
        <v>93</v>
      </c>
      <c r="AN36" t="s">
        <v>88</v>
      </c>
      <c r="AO36" t="s">
        <v>100</v>
      </c>
      <c r="AP36" t="s">
        <v>90</v>
      </c>
      <c r="AQ36" t="s">
        <v>95</v>
      </c>
      <c r="AR36" t="s">
        <v>94</v>
      </c>
      <c r="AS36" t="s">
        <v>96</v>
      </c>
      <c r="AT36" t="s">
        <v>97</v>
      </c>
      <c r="AU36" t="s">
        <v>109</v>
      </c>
      <c r="AV36" t="s">
        <v>108</v>
      </c>
      <c r="AW36" t="s">
        <v>102</v>
      </c>
      <c r="AX36" t="s">
        <v>86</v>
      </c>
      <c r="AY36" t="s">
        <v>101</v>
      </c>
      <c r="AZ36" t="s">
        <v>91</v>
      </c>
      <c r="BA36" t="s">
        <v>92</v>
      </c>
      <c r="BB36" t="s">
        <v>106</v>
      </c>
      <c r="BC36" t="s">
        <v>93</v>
      </c>
      <c r="BD36" t="s">
        <v>88</v>
      </c>
      <c r="BE36" t="s">
        <v>100</v>
      </c>
      <c r="BF36" t="s">
        <v>90</v>
      </c>
      <c r="BG36" t="s">
        <v>95</v>
      </c>
      <c r="BH36" t="s">
        <v>94</v>
      </c>
      <c r="BI36" t="s">
        <v>96</v>
      </c>
      <c r="BJ36" t="s">
        <v>97</v>
      </c>
      <c r="BK36" t="s">
        <v>93</v>
      </c>
      <c r="BL36" t="s">
        <v>88</v>
      </c>
      <c r="BM36" t="s">
        <v>94</v>
      </c>
      <c r="BN36" t="s">
        <v>97</v>
      </c>
      <c r="BO36" t="s">
        <v>93</v>
      </c>
      <c r="BP36" t="s">
        <v>88</v>
      </c>
      <c r="BQ36" t="s">
        <v>93</v>
      </c>
      <c r="BS36" t="s">
        <v>122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17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12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11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>SUM(BU36:CE36)</f>
        <v>44</v>
      </c>
    </row>
    <row r="37" spans="1:84" x14ac:dyDescent="0.2">
      <c r="A37" t="s">
        <v>160</v>
      </c>
      <c r="B37" t="s">
        <v>141</v>
      </c>
      <c r="C37" t="s">
        <v>86</v>
      </c>
      <c r="D37" t="s">
        <v>99</v>
      </c>
      <c r="E37" t="s">
        <v>88</v>
      </c>
      <c r="F37" t="s">
        <v>113</v>
      </c>
      <c r="G37" t="s">
        <v>90</v>
      </c>
      <c r="H37" t="s">
        <v>91</v>
      </c>
      <c r="I37" t="s">
        <v>139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131</v>
      </c>
      <c r="P37" t="s">
        <v>87</v>
      </c>
      <c r="Q37" t="s">
        <v>112</v>
      </c>
      <c r="R37" t="s">
        <v>101</v>
      </c>
      <c r="S37" t="s">
        <v>102</v>
      </c>
      <c r="T37" t="s">
        <v>103</v>
      </c>
      <c r="U37" t="s">
        <v>92</v>
      </c>
      <c r="V37" t="s">
        <v>105</v>
      </c>
      <c r="W37" t="s">
        <v>118</v>
      </c>
      <c r="X37" t="s">
        <v>119</v>
      </c>
      <c r="Y37" t="s">
        <v>108</v>
      </c>
      <c r="Z37" t="s">
        <v>145</v>
      </c>
      <c r="AA37" t="s">
        <v>110</v>
      </c>
      <c r="AB37" t="s">
        <v>126</v>
      </c>
      <c r="AC37" t="s">
        <v>100</v>
      </c>
      <c r="AD37" t="s">
        <v>127</v>
      </c>
      <c r="AE37" t="s">
        <v>114</v>
      </c>
      <c r="AF37" t="s">
        <v>115</v>
      </c>
      <c r="AG37" t="s">
        <v>104</v>
      </c>
      <c r="AH37" t="s">
        <v>117</v>
      </c>
      <c r="AI37" t="s">
        <v>106</v>
      </c>
      <c r="AJ37" t="s">
        <v>107</v>
      </c>
      <c r="AK37" t="s">
        <v>128</v>
      </c>
      <c r="AL37" t="s">
        <v>121</v>
      </c>
      <c r="AM37" t="s">
        <v>88</v>
      </c>
      <c r="AN37" t="s">
        <v>93</v>
      </c>
      <c r="AO37" t="s">
        <v>94</v>
      </c>
      <c r="AP37" t="s">
        <v>95</v>
      </c>
      <c r="AQ37" t="s">
        <v>90</v>
      </c>
      <c r="AR37" t="s">
        <v>91</v>
      </c>
      <c r="AS37" t="s">
        <v>97</v>
      </c>
      <c r="AT37" t="s">
        <v>118</v>
      </c>
      <c r="AU37" t="s">
        <v>105</v>
      </c>
      <c r="AV37" t="s">
        <v>121</v>
      </c>
      <c r="AW37" t="s">
        <v>86</v>
      </c>
      <c r="AX37" t="s">
        <v>108</v>
      </c>
      <c r="AY37" t="s">
        <v>106</v>
      </c>
      <c r="AZ37" t="s">
        <v>102</v>
      </c>
      <c r="BA37" t="s">
        <v>96</v>
      </c>
      <c r="BB37" t="s">
        <v>145</v>
      </c>
      <c r="BC37" t="s">
        <v>88</v>
      </c>
      <c r="BD37" t="s">
        <v>93</v>
      </c>
      <c r="BE37" t="s">
        <v>94</v>
      </c>
      <c r="BF37" t="s">
        <v>95</v>
      </c>
      <c r="BG37" t="s">
        <v>90</v>
      </c>
      <c r="BH37" t="s">
        <v>91</v>
      </c>
      <c r="BI37" t="s">
        <v>97</v>
      </c>
      <c r="BJ37" t="s">
        <v>118</v>
      </c>
      <c r="BK37" t="s">
        <v>88</v>
      </c>
      <c r="BL37" t="s">
        <v>93</v>
      </c>
      <c r="BM37" t="s">
        <v>94</v>
      </c>
      <c r="BN37" t="s">
        <v>118</v>
      </c>
      <c r="BO37" t="s">
        <v>88</v>
      </c>
      <c r="BP37" t="s">
        <v>93</v>
      </c>
      <c r="BQ37" t="s">
        <v>88</v>
      </c>
      <c r="BS37" t="s">
        <v>161</v>
      </c>
      <c r="BT37" t="s">
        <v>162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18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11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>SUM(BU37:CE37)</f>
        <v>43.5</v>
      </c>
    </row>
    <row r="38" spans="1:84" x14ac:dyDescent="0.2">
      <c r="A38" t="s">
        <v>202</v>
      </c>
      <c r="B38" t="s">
        <v>136</v>
      </c>
      <c r="C38" t="s">
        <v>86</v>
      </c>
      <c r="D38" t="s">
        <v>87</v>
      </c>
      <c r="E38" t="s">
        <v>100</v>
      </c>
      <c r="F38" t="s">
        <v>113</v>
      </c>
      <c r="G38" t="s">
        <v>90</v>
      </c>
      <c r="H38" t="s">
        <v>115</v>
      </c>
      <c r="I38" t="s">
        <v>92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98</v>
      </c>
      <c r="P38" t="s">
        <v>99</v>
      </c>
      <c r="Q38" t="s">
        <v>88</v>
      </c>
      <c r="R38" t="s">
        <v>101</v>
      </c>
      <c r="S38" t="s">
        <v>102</v>
      </c>
      <c r="T38" t="s">
        <v>103</v>
      </c>
      <c r="U38" t="s">
        <v>104</v>
      </c>
      <c r="V38" t="s">
        <v>105</v>
      </c>
      <c r="W38" t="s">
        <v>106</v>
      </c>
      <c r="X38" t="s">
        <v>107</v>
      </c>
      <c r="Y38" t="s">
        <v>96</v>
      </c>
      <c r="Z38" t="s">
        <v>97</v>
      </c>
      <c r="AA38" t="s">
        <v>110</v>
      </c>
      <c r="AB38" t="s">
        <v>111</v>
      </c>
      <c r="AC38" t="s">
        <v>112</v>
      </c>
      <c r="AD38" t="s">
        <v>89</v>
      </c>
      <c r="AE38" t="s">
        <v>114</v>
      </c>
      <c r="AF38" t="s">
        <v>91</v>
      </c>
      <c r="AG38" t="s">
        <v>116</v>
      </c>
      <c r="AH38" t="s">
        <v>117</v>
      </c>
      <c r="AI38" t="s">
        <v>118</v>
      </c>
      <c r="AJ38" t="s">
        <v>119</v>
      </c>
      <c r="AK38" t="s">
        <v>128</v>
      </c>
      <c r="AL38" t="s">
        <v>121</v>
      </c>
      <c r="AM38" t="s">
        <v>90</v>
      </c>
      <c r="AN38" t="s">
        <v>94</v>
      </c>
      <c r="AO38" t="s">
        <v>99</v>
      </c>
      <c r="AP38" t="s">
        <v>88</v>
      </c>
      <c r="AQ38" t="s">
        <v>96</v>
      </c>
      <c r="AR38" t="s">
        <v>93</v>
      </c>
      <c r="AS38" t="s">
        <v>91</v>
      </c>
      <c r="AT38" t="s">
        <v>92</v>
      </c>
      <c r="AU38" t="s">
        <v>100</v>
      </c>
      <c r="AV38" t="s">
        <v>102</v>
      </c>
      <c r="AW38" t="s">
        <v>86</v>
      </c>
      <c r="AX38" t="s">
        <v>109</v>
      </c>
      <c r="AY38" t="s">
        <v>95</v>
      </c>
      <c r="AZ38" t="s">
        <v>101</v>
      </c>
      <c r="BA38" t="s">
        <v>87</v>
      </c>
      <c r="BB38" t="s">
        <v>108</v>
      </c>
      <c r="BC38" t="s">
        <v>94</v>
      </c>
      <c r="BD38" t="s">
        <v>88</v>
      </c>
      <c r="BE38" t="s">
        <v>93</v>
      </c>
      <c r="BF38" t="s">
        <v>92</v>
      </c>
      <c r="BG38" t="s">
        <v>100</v>
      </c>
      <c r="BH38" t="s">
        <v>86</v>
      </c>
      <c r="BI38" t="s">
        <v>95</v>
      </c>
      <c r="BJ38" t="s">
        <v>108</v>
      </c>
      <c r="BK38" t="s">
        <v>94</v>
      </c>
      <c r="BL38" t="s">
        <v>93</v>
      </c>
      <c r="BM38" t="s">
        <v>100</v>
      </c>
      <c r="BN38" t="s">
        <v>95</v>
      </c>
      <c r="BO38" t="s">
        <v>93</v>
      </c>
      <c r="BP38" t="s">
        <v>100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15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11.5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4</v>
      </c>
      <c r="CE38">
        <f>IF(BR38='Resultats Reals'!$L$2,5,0)</f>
        <v>0</v>
      </c>
      <c r="CF38" s="7">
        <f>SUM(BU38:CE38)</f>
        <v>43.5</v>
      </c>
    </row>
    <row r="39" spans="1:84" x14ac:dyDescent="0.2">
      <c r="A39" t="s">
        <v>203</v>
      </c>
      <c r="B39" t="s">
        <v>136</v>
      </c>
      <c r="C39" t="s">
        <v>86</v>
      </c>
      <c r="D39" t="s">
        <v>87</v>
      </c>
      <c r="E39" t="s">
        <v>88</v>
      </c>
      <c r="F39" t="s">
        <v>89</v>
      </c>
      <c r="G39" t="s">
        <v>90</v>
      </c>
      <c r="H39" t="s">
        <v>91</v>
      </c>
      <c r="I39" t="s">
        <v>92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98</v>
      </c>
      <c r="P39" t="s">
        <v>111</v>
      </c>
      <c r="Q39" t="s">
        <v>100</v>
      </c>
      <c r="R39" t="s">
        <v>113</v>
      </c>
      <c r="S39" t="s">
        <v>102</v>
      </c>
      <c r="T39" t="s">
        <v>115</v>
      </c>
      <c r="U39" t="s">
        <v>104</v>
      </c>
      <c r="V39" t="s">
        <v>105</v>
      </c>
      <c r="W39" t="s">
        <v>118</v>
      </c>
      <c r="X39" t="s">
        <v>107</v>
      </c>
      <c r="Y39" t="s">
        <v>108</v>
      </c>
      <c r="Z39" t="s">
        <v>109</v>
      </c>
      <c r="AA39" t="s">
        <v>204</v>
      </c>
      <c r="AB39" t="s">
        <v>126</v>
      </c>
      <c r="AC39" t="s">
        <v>112</v>
      </c>
      <c r="AD39" t="s">
        <v>101</v>
      </c>
      <c r="AE39" t="s">
        <v>114</v>
      </c>
      <c r="AF39" t="s">
        <v>103</v>
      </c>
      <c r="AG39" t="s">
        <v>116</v>
      </c>
      <c r="AH39" t="s">
        <v>117</v>
      </c>
      <c r="AI39" t="s">
        <v>106</v>
      </c>
      <c r="AJ39" t="s">
        <v>119</v>
      </c>
      <c r="AK39" t="s">
        <v>120</v>
      </c>
      <c r="AL39" t="s">
        <v>121</v>
      </c>
      <c r="AM39" t="s">
        <v>90</v>
      </c>
      <c r="AN39" t="s">
        <v>94</v>
      </c>
      <c r="AO39" t="s">
        <v>98</v>
      </c>
      <c r="AP39" t="s">
        <v>100</v>
      </c>
      <c r="AQ39" t="s">
        <v>88</v>
      </c>
      <c r="AR39" t="s">
        <v>118</v>
      </c>
      <c r="AS39" t="s">
        <v>86</v>
      </c>
      <c r="AT39" t="s">
        <v>97</v>
      </c>
      <c r="AU39" t="s">
        <v>95</v>
      </c>
      <c r="AV39" t="s">
        <v>113</v>
      </c>
      <c r="AW39" t="s">
        <v>87</v>
      </c>
      <c r="AX39" t="s">
        <v>96</v>
      </c>
      <c r="AY39" t="s">
        <v>92</v>
      </c>
      <c r="AZ39" t="s">
        <v>89</v>
      </c>
      <c r="BA39" t="s">
        <v>93</v>
      </c>
      <c r="BB39" t="s">
        <v>108</v>
      </c>
      <c r="BC39" t="s">
        <v>92</v>
      </c>
      <c r="BD39" t="s">
        <v>93</v>
      </c>
      <c r="BE39" t="s">
        <v>95</v>
      </c>
      <c r="BF39" t="s">
        <v>96</v>
      </c>
      <c r="BG39" t="s">
        <v>88</v>
      </c>
      <c r="BH39" t="s">
        <v>90</v>
      </c>
      <c r="BI39" t="s">
        <v>100</v>
      </c>
      <c r="BJ39" t="s">
        <v>97</v>
      </c>
      <c r="BK39" t="s">
        <v>90</v>
      </c>
      <c r="BL39" t="s">
        <v>93</v>
      </c>
      <c r="BM39" t="s">
        <v>97</v>
      </c>
      <c r="BN39" t="s">
        <v>95</v>
      </c>
      <c r="BO39" t="s">
        <v>95</v>
      </c>
      <c r="BP39" t="s">
        <v>90</v>
      </c>
      <c r="BQ39" t="s">
        <v>95</v>
      </c>
      <c r="BS39" t="s">
        <v>158</v>
      </c>
      <c r="BT39" t="s">
        <v>146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16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8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>SUM(BU39:CE39)</f>
        <v>43</v>
      </c>
    </row>
    <row r="40" spans="1:84" x14ac:dyDescent="0.2">
      <c r="A40" t="s">
        <v>163</v>
      </c>
      <c r="B40" t="s">
        <v>164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99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119</v>
      </c>
      <c r="Y40" t="s">
        <v>108</v>
      </c>
      <c r="Z40" t="s">
        <v>109</v>
      </c>
      <c r="AA40" t="s">
        <v>131</v>
      </c>
      <c r="AB40" t="s">
        <v>111</v>
      </c>
      <c r="AC40" t="s">
        <v>112</v>
      </c>
      <c r="AD40" t="s">
        <v>127</v>
      </c>
      <c r="AE40" t="s">
        <v>114</v>
      </c>
      <c r="AF40" t="s">
        <v>103</v>
      </c>
      <c r="AG40" t="s">
        <v>116</v>
      </c>
      <c r="AH40" t="s">
        <v>117</v>
      </c>
      <c r="AI40" t="s">
        <v>118</v>
      </c>
      <c r="AJ40" t="s">
        <v>144</v>
      </c>
      <c r="AK40" t="s">
        <v>120</v>
      </c>
      <c r="AL40" t="s">
        <v>145</v>
      </c>
      <c r="AM40" t="s">
        <v>90</v>
      </c>
      <c r="AN40" t="s">
        <v>88</v>
      </c>
      <c r="AO40" t="s">
        <v>95</v>
      </c>
      <c r="AP40" t="s">
        <v>93</v>
      </c>
      <c r="AQ40" t="s">
        <v>91</v>
      </c>
      <c r="AR40" t="s">
        <v>94</v>
      </c>
      <c r="AS40" t="s">
        <v>97</v>
      </c>
      <c r="AT40" t="s">
        <v>100</v>
      </c>
      <c r="AU40" t="s">
        <v>108</v>
      </c>
      <c r="AV40" t="s">
        <v>86</v>
      </c>
      <c r="AW40" t="s">
        <v>105</v>
      </c>
      <c r="AX40" t="s">
        <v>114</v>
      </c>
      <c r="AY40" t="s">
        <v>102</v>
      </c>
      <c r="AZ40" t="s">
        <v>115</v>
      </c>
      <c r="BA40" t="s">
        <v>96</v>
      </c>
      <c r="BB40" t="s">
        <v>109</v>
      </c>
      <c r="BC40" t="s">
        <v>95</v>
      </c>
      <c r="BD40" t="s">
        <v>93</v>
      </c>
      <c r="BE40" t="s">
        <v>96</v>
      </c>
      <c r="BF40" t="s">
        <v>94</v>
      </c>
      <c r="BG40" t="s">
        <v>91</v>
      </c>
      <c r="BH40" t="s">
        <v>97</v>
      </c>
      <c r="BI40" t="s">
        <v>88</v>
      </c>
      <c r="BJ40" t="s">
        <v>108</v>
      </c>
      <c r="BK40" t="s">
        <v>93</v>
      </c>
      <c r="BL40" t="s">
        <v>95</v>
      </c>
      <c r="BM40" t="s">
        <v>94</v>
      </c>
      <c r="BN40" t="s">
        <v>96</v>
      </c>
      <c r="BO40" t="s">
        <v>93</v>
      </c>
      <c r="BP40" t="s">
        <v>94</v>
      </c>
      <c r="BQ40" t="s">
        <v>94</v>
      </c>
      <c r="BR40" s="6" t="s">
        <v>165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17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8.5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>SUM(BU40:CE40)</f>
        <v>42.5</v>
      </c>
    </row>
    <row r="41" spans="1:84" x14ac:dyDescent="0.2">
      <c r="A41" t="s">
        <v>172</v>
      </c>
      <c r="B41" t="s">
        <v>173</v>
      </c>
      <c r="C41" t="s">
        <v>98</v>
      </c>
      <c r="D41" t="s">
        <v>87</v>
      </c>
      <c r="E41" t="s">
        <v>88</v>
      </c>
      <c r="F41" t="s">
        <v>113</v>
      </c>
      <c r="G41" t="s">
        <v>90</v>
      </c>
      <c r="H41" t="s">
        <v>91</v>
      </c>
      <c r="I41" t="s">
        <v>104</v>
      </c>
      <c r="J41" t="s">
        <v>93</v>
      </c>
      <c r="K41" t="s">
        <v>94</v>
      </c>
      <c r="L41" t="s">
        <v>95</v>
      </c>
      <c r="M41" t="s">
        <v>108</v>
      </c>
      <c r="N41" t="s">
        <v>109</v>
      </c>
      <c r="O41" t="s">
        <v>110</v>
      </c>
      <c r="P41" t="s">
        <v>111</v>
      </c>
      <c r="Q41" t="s">
        <v>100</v>
      </c>
      <c r="R41" t="s">
        <v>101</v>
      </c>
      <c r="S41" t="s">
        <v>102</v>
      </c>
      <c r="T41" t="s">
        <v>115</v>
      </c>
      <c r="U41" t="s">
        <v>92</v>
      </c>
      <c r="V41" t="s">
        <v>105</v>
      </c>
      <c r="W41" t="s">
        <v>118</v>
      </c>
      <c r="X41" t="s">
        <v>119</v>
      </c>
      <c r="Y41" t="s">
        <v>96</v>
      </c>
      <c r="Z41" t="s">
        <v>97</v>
      </c>
      <c r="AA41" t="s">
        <v>131</v>
      </c>
      <c r="AB41" t="s">
        <v>99</v>
      </c>
      <c r="AC41" t="s">
        <v>171</v>
      </c>
      <c r="AD41" t="s">
        <v>89</v>
      </c>
      <c r="AE41" t="s">
        <v>114</v>
      </c>
      <c r="AF41" t="s">
        <v>103</v>
      </c>
      <c r="AG41" t="s">
        <v>139</v>
      </c>
      <c r="AH41" t="s">
        <v>143</v>
      </c>
      <c r="AI41" t="s">
        <v>106</v>
      </c>
      <c r="AJ41" t="s">
        <v>107</v>
      </c>
      <c r="AK41" t="s">
        <v>128</v>
      </c>
      <c r="AL41" t="s">
        <v>121</v>
      </c>
      <c r="AM41" t="s">
        <v>98</v>
      </c>
      <c r="AN41" t="s">
        <v>105</v>
      </c>
      <c r="AO41" t="s">
        <v>88</v>
      </c>
      <c r="AP41" t="s">
        <v>113</v>
      </c>
      <c r="AQ41" t="s">
        <v>102</v>
      </c>
      <c r="AR41" t="s">
        <v>91</v>
      </c>
      <c r="AS41" t="s">
        <v>104</v>
      </c>
      <c r="AT41" t="s">
        <v>93</v>
      </c>
      <c r="AU41" t="s">
        <v>94</v>
      </c>
      <c r="AV41" t="s">
        <v>95</v>
      </c>
      <c r="AW41" t="s">
        <v>108</v>
      </c>
      <c r="AX41" t="s">
        <v>109</v>
      </c>
      <c r="AY41" t="s">
        <v>96</v>
      </c>
      <c r="AZ41" t="s">
        <v>97</v>
      </c>
      <c r="BA41" t="s">
        <v>118</v>
      </c>
      <c r="BB41" t="s">
        <v>100</v>
      </c>
      <c r="BC41" t="s">
        <v>93</v>
      </c>
      <c r="BD41" t="s">
        <v>94</v>
      </c>
      <c r="BE41" t="s">
        <v>88</v>
      </c>
      <c r="BF41" t="s">
        <v>102</v>
      </c>
      <c r="BG41" t="s">
        <v>95</v>
      </c>
      <c r="BH41" t="s">
        <v>118</v>
      </c>
      <c r="BI41" t="s">
        <v>109</v>
      </c>
      <c r="BJ41" t="s">
        <v>91</v>
      </c>
      <c r="BK41" t="s">
        <v>93</v>
      </c>
      <c r="BL41" t="s">
        <v>94</v>
      </c>
      <c r="BM41" t="s">
        <v>95</v>
      </c>
      <c r="BN41" t="s">
        <v>102</v>
      </c>
      <c r="BO41" t="s">
        <v>93</v>
      </c>
      <c r="BP41" t="s">
        <v>102</v>
      </c>
      <c r="BQ41" t="s">
        <v>102</v>
      </c>
      <c r="BS41" t="s">
        <v>162</v>
      </c>
      <c r="BT41" t="s">
        <v>155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17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13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10.5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2</v>
      </c>
      <c r="CE41">
        <f>IF(BR41='Resultats Reals'!$L$2,5,0)</f>
        <v>0</v>
      </c>
      <c r="CF41" s="7">
        <f>SUM(BU41:CE41)</f>
        <v>42.5</v>
      </c>
    </row>
    <row r="42" spans="1:84" x14ac:dyDescent="0.2">
      <c r="A42" t="s">
        <v>215</v>
      </c>
      <c r="B42" t="s">
        <v>85</v>
      </c>
      <c r="C42" t="s">
        <v>86</v>
      </c>
      <c r="D42" t="s">
        <v>99</v>
      </c>
      <c r="E42" t="s">
        <v>88</v>
      </c>
      <c r="F42" t="s">
        <v>113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101</v>
      </c>
      <c r="AE42" t="s">
        <v>114</v>
      </c>
      <c r="AF42" t="s">
        <v>132</v>
      </c>
      <c r="AG42" t="s">
        <v>116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88</v>
      </c>
      <c r="AN42" t="s">
        <v>86</v>
      </c>
      <c r="AO42" t="s">
        <v>90</v>
      </c>
      <c r="AP42" t="s">
        <v>91</v>
      </c>
      <c r="AQ42" t="s">
        <v>93</v>
      </c>
      <c r="AR42" t="s">
        <v>94</v>
      </c>
      <c r="AS42" t="s">
        <v>95</v>
      </c>
      <c r="AT42" t="s">
        <v>96</v>
      </c>
      <c r="AU42" t="s">
        <v>97</v>
      </c>
      <c r="AV42" t="s">
        <v>100</v>
      </c>
      <c r="AW42" t="s">
        <v>105</v>
      </c>
      <c r="AX42" t="s">
        <v>102</v>
      </c>
      <c r="AY42" t="s">
        <v>108</v>
      </c>
      <c r="AZ42" t="s">
        <v>92</v>
      </c>
      <c r="BA42" t="s">
        <v>115</v>
      </c>
      <c r="BB42" t="s">
        <v>109</v>
      </c>
      <c r="BC42" t="s">
        <v>93</v>
      </c>
      <c r="BD42" t="s">
        <v>94</v>
      </c>
      <c r="BE42" t="s">
        <v>96</v>
      </c>
      <c r="BF42" t="s">
        <v>95</v>
      </c>
      <c r="BG42" t="s">
        <v>97</v>
      </c>
      <c r="BH42" t="s">
        <v>91</v>
      </c>
      <c r="BI42" t="s">
        <v>88</v>
      </c>
      <c r="BJ42" t="s">
        <v>90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96</v>
      </c>
      <c r="BQ42" t="s">
        <v>93</v>
      </c>
      <c r="BR42" s="6" t="s">
        <v>216</v>
      </c>
      <c r="BS42" t="s">
        <v>129</v>
      </c>
      <c r="BT42" t="s">
        <v>122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19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16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0</v>
      </c>
      <c r="CE42">
        <f>IF(BR42='Resultats Reals'!$L$2,5,0)</f>
        <v>0</v>
      </c>
      <c r="CF42" s="7">
        <f>SUM(BU42:CE42)</f>
        <v>42.5</v>
      </c>
    </row>
    <row r="43" spans="1:84" x14ac:dyDescent="0.2">
      <c r="A43" t="s">
        <v>193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118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94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114</v>
      </c>
      <c r="AF43" t="s">
        <v>115</v>
      </c>
      <c r="AG43" t="s">
        <v>139</v>
      </c>
      <c r="AH43" t="s">
        <v>117</v>
      </c>
      <c r="AI43" t="s">
        <v>106</v>
      </c>
      <c r="AJ43" t="s">
        <v>119</v>
      </c>
      <c r="AK43" t="s">
        <v>128</v>
      </c>
      <c r="AL43" t="s">
        <v>121</v>
      </c>
      <c r="AM43" t="s">
        <v>90</v>
      </c>
      <c r="AN43" t="s">
        <v>118</v>
      </c>
      <c r="AO43" t="s">
        <v>98</v>
      </c>
      <c r="AP43" t="s">
        <v>91</v>
      </c>
      <c r="AQ43" t="s">
        <v>108</v>
      </c>
      <c r="AR43" t="s">
        <v>93</v>
      </c>
      <c r="AS43" t="s">
        <v>101</v>
      </c>
      <c r="AT43" t="s">
        <v>92</v>
      </c>
      <c r="AU43" t="s">
        <v>88</v>
      </c>
      <c r="AV43" t="s">
        <v>94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90</v>
      </c>
      <c r="BD43" t="s">
        <v>91</v>
      </c>
      <c r="BE43" t="s">
        <v>93</v>
      </c>
      <c r="BF43" t="s">
        <v>101</v>
      </c>
      <c r="BG43" t="s">
        <v>88</v>
      </c>
      <c r="BH43" t="s">
        <v>97</v>
      </c>
      <c r="BI43" t="s">
        <v>95</v>
      </c>
      <c r="BJ43" t="s">
        <v>96</v>
      </c>
      <c r="BK43" t="s">
        <v>91</v>
      </c>
      <c r="BL43" t="s">
        <v>93</v>
      </c>
      <c r="BM43" t="s">
        <v>88</v>
      </c>
      <c r="BN43" t="s">
        <v>96</v>
      </c>
      <c r="BO43" t="s">
        <v>93</v>
      </c>
      <c r="BP43" t="s">
        <v>96</v>
      </c>
      <c r="BQ43" t="s">
        <v>96</v>
      </c>
      <c r="BS43" t="s">
        <v>194</v>
      </c>
      <c r="BT43" t="s">
        <v>195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18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10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>SUM(BU43:CE43)</f>
        <v>42</v>
      </c>
    </row>
    <row r="44" spans="1:84" x14ac:dyDescent="0.2">
      <c r="A44" t="s">
        <v>198</v>
      </c>
      <c r="B44" t="s">
        <v>136</v>
      </c>
      <c r="C44" t="s">
        <v>98</v>
      </c>
      <c r="D44" t="s">
        <v>87</v>
      </c>
      <c r="E44" t="s">
        <v>88</v>
      </c>
      <c r="F44" t="s">
        <v>101</v>
      </c>
      <c r="G44" t="s">
        <v>90</v>
      </c>
      <c r="H44" t="s">
        <v>103</v>
      </c>
      <c r="I44" t="s">
        <v>104</v>
      </c>
      <c r="J44" t="s">
        <v>93</v>
      </c>
      <c r="K44" t="s">
        <v>118</v>
      </c>
      <c r="L44" t="s">
        <v>95</v>
      </c>
      <c r="M44" t="s">
        <v>108</v>
      </c>
      <c r="N44" t="s">
        <v>97</v>
      </c>
      <c r="O44" t="s">
        <v>86</v>
      </c>
      <c r="P44" t="s">
        <v>111</v>
      </c>
      <c r="Q44" t="s">
        <v>100</v>
      </c>
      <c r="R44" t="s">
        <v>113</v>
      </c>
      <c r="S44" t="s">
        <v>102</v>
      </c>
      <c r="T44" t="s">
        <v>91</v>
      </c>
      <c r="U44" t="s">
        <v>92</v>
      </c>
      <c r="V44" t="s">
        <v>105</v>
      </c>
      <c r="W44" t="s">
        <v>94</v>
      </c>
      <c r="X44" t="s">
        <v>107</v>
      </c>
      <c r="Y44" t="s">
        <v>96</v>
      </c>
      <c r="Z44" t="s">
        <v>109</v>
      </c>
      <c r="AA44" t="s">
        <v>110</v>
      </c>
      <c r="AB44" t="s">
        <v>99</v>
      </c>
      <c r="AC44" t="s">
        <v>112</v>
      </c>
      <c r="AD44" t="s">
        <v>199</v>
      </c>
      <c r="AE44" t="s">
        <v>114</v>
      </c>
      <c r="AF44" t="s">
        <v>115</v>
      </c>
      <c r="AG44" t="s">
        <v>116</v>
      </c>
      <c r="AH44" t="s">
        <v>117</v>
      </c>
      <c r="AI44" t="s">
        <v>106</v>
      </c>
      <c r="AJ44" t="s">
        <v>119</v>
      </c>
      <c r="AK44" t="s">
        <v>128</v>
      </c>
      <c r="AL44" t="s">
        <v>121</v>
      </c>
      <c r="AM44" t="s">
        <v>90</v>
      </c>
      <c r="AN44" t="s">
        <v>118</v>
      </c>
      <c r="AO44" t="s">
        <v>111</v>
      </c>
      <c r="AP44" t="s">
        <v>100</v>
      </c>
      <c r="AQ44" t="s">
        <v>96</v>
      </c>
      <c r="AR44" t="s">
        <v>93</v>
      </c>
      <c r="AS44" t="s">
        <v>112</v>
      </c>
      <c r="AT44" t="s">
        <v>104</v>
      </c>
      <c r="AU44" t="s">
        <v>88</v>
      </c>
      <c r="AV44" t="s">
        <v>94</v>
      </c>
      <c r="AW44" t="s">
        <v>98</v>
      </c>
      <c r="AX44" t="s">
        <v>97</v>
      </c>
      <c r="AY44" t="s">
        <v>95</v>
      </c>
      <c r="AZ44" t="s">
        <v>92</v>
      </c>
      <c r="BA44" t="s">
        <v>115</v>
      </c>
      <c r="BB44" t="s">
        <v>108</v>
      </c>
      <c r="BC44" t="s">
        <v>118</v>
      </c>
      <c r="BD44" t="s">
        <v>100</v>
      </c>
      <c r="BE44" t="s">
        <v>93</v>
      </c>
      <c r="BF44" t="s">
        <v>104</v>
      </c>
      <c r="BG44" t="s">
        <v>94</v>
      </c>
      <c r="BH44" t="s">
        <v>97</v>
      </c>
      <c r="BI44" t="s">
        <v>95</v>
      </c>
      <c r="BJ44" t="s">
        <v>108</v>
      </c>
      <c r="BK44" t="s">
        <v>118</v>
      </c>
      <c r="BL44" t="s">
        <v>93</v>
      </c>
      <c r="BM44" t="s">
        <v>97</v>
      </c>
      <c r="BN44" t="s">
        <v>95</v>
      </c>
      <c r="BO44" t="s">
        <v>93</v>
      </c>
      <c r="BP44" t="s">
        <v>95</v>
      </c>
      <c r="BQ44" t="s">
        <v>93</v>
      </c>
      <c r="BR44" s="6" t="s">
        <v>200</v>
      </c>
      <c r="BS44" t="s">
        <v>151</v>
      </c>
      <c r="BT44" t="s">
        <v>201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18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11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>SUM(BU44:CE44)</f>
        <v>41</v>
      </c>
    </row>
    <row r="45" spans="1:84" x14ac:dyDescent="0.2">
      <c r="A45" t="s">
        <v>130</v>
      </c>
      <c r="B45" t="s">
        <v>85</v>
      </c>
      <c r="C45" t="s">
        <v>86</v>
      </c>
      <c r="D45" t="s">
        <v>87</v>
      </c>
      <c r="E45" t="s">
        <v>88</v>
      </c>
      <c r="F45" t="s">
        <v>89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101</v>
      </c>
      <c r="S45" t="s">
        <v>102</v>
      </c>
      <c r="T45" t="s">
        <v>115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131</v>
      </c>
      <c r="AB45" t="s">
        <v>126</v>
      </c>
      <c r="AC45" t="s">
        <v>112</v>
      </c>
      <c r="AD45" t="s">
        <v>127</v>
      </c>
      <c r="AE45" t="s">
        <v>114</v>
      </c>
      <c r="AF45" t="s">
        <v>132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99</v>
      </c>
      <c r="AN45" t="s">
        <v>88</v>
      </c>
      <c r="AO45" t="s">
        <v>90</v>
      </c>
      <c r="AP45" t="s">
        <v>91</v>
      </c>
      <c r="AQ45" t="s">
        <v>102</v>
      </c>
      <c r="AR45" t="s">
        <v>94</v>
      </c>
      <c r="AS45" t="s">
        <v>86</v>
      </c>
      <c r="AT45" t="s">
        <v>97</v>
      </c>
      <c r="AU45" t="s">
        <v>92</v>
      </c>
      <c r="AV45" t="s">
        <v>89</v>
      </c>
      <c r="AW45" t="s">
        <v>93</v>
      </c>
      <c r="AX45" t="s">
        <v>109</v>
      </c>
      <c r="AY45" t="s">
        <v>87</v>
      </c>
      <c r="AZ45" t="s">
        <v>101</v>
      </c>
      <c r="BA45" t="s">
        <v>95</v>
      </c>
      <c r="BB45" t="s">
        <v>96</v>
      </c>
      <c r="BC45" t="s">
        <v>88</v>
      </c>
      <c r="BD45" t="s">
        <v>91</v>
      </c>
      <c r="BE45" t="s">
        <v>94</v>
      </c>
      <c r="BF45" t="s">
        <v>97</v>
      </c>
      <c r="BG45" t="s">
        <v>89</v>
      </c>
      <c r="BH45" t="s">
        <v>93</v>
      </c>
      <c r="BI45" t="s">
        <v>101</v>
      </c>
      <c r="BJ45" t="s">
        <v>96</v>
      </c>
      <c r="BK45" t="s">
        <v>91</v>
      </c>
      <c r="BL45" t="s">
        <v>97</v>
      </c>
      <c r="BM45" t="s">
        <v>93</v>
      </c>
      <c r="BN45" t="s">
        <v>96</v>
      </c>
      <c r="BO45" t="s">
        <v>93</v>
      </c>
      <c r="BP45" t="s">
        <v>97</v>
      </c>
      <c r="BQ45" t="s">
        <v>93</v>
      </c>
      <c r="BS45" t="s">
        <v>133</v>
      </c>
      <c r="BT45" t="s">
        <v>134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7.5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0</v>
      </c>
      <c r="CE45">
        <f>IF(BR45='Resultats Reals'!$L$2,5,0)</f>
        <v>0</v>
      </c>
      <c r="CF45" s="7">
        <f>SUM(BU45:CE45)</f>
        <v>40.5</v>
      </c>
    </row>
    <row r="46" spans="1:84" x14ac:dyDescent="0.2">
      <c r="A46" t="s">
        <v>175</v>
      </c>
      <c r="B46" t="s">
        <v>173</v>
      </c>
      <c r="C46" t="s">
        <v>98</v>
      </c>
      <c r="D46" t="s">
        <v>87</v>
      </c>
      <c r="E46" t="s">
        <v>88</v>
      </c>
      <c r="F46" t="s">
        <v>113</v>
      </c>
      <c r="G46" t="s">
        <v>90</v>
      </c>
      <c r="H46" t="s">
        <v>91</v>
      </c>
      <c r="I46" t="s">
        <v>104</v>
      </c>
      <c r="J46" t="s">
        <v>93</v>
      </c>
      <c r="K46" t="s">
        <v>94</v>
      </c>
      <c r="L46" t="s">
        <v>95</v>
      </c>
      <c r="M46" t="s">
        <v>108</v>
      </c>
      <c r="N46" t="s">
        <v>109</v>
      </c>
      <c r="O46" t="s">
        <v>110</v>
      </c>
      <c r="P46" t="s">
        <v>111</v>
      </c>
      <c r="Q46" t="s">
        <v>100</v>
      </c>
      <c r="R46" t="s">
        <v>101</v>
      </c>
      <c r="S46" t="s">
        <v>102</v>
      </c>
      <c r="T46" t="s">
        <v>115</v>
      </c>
      <c r="U46" t="s">
        <v>92</v>
      </c>
      <c r="V46" t="s">
        <v>105</v>
      </c>
      <c r="W46" t="s">
        <v>118</v>
      </c>
      <c r="X46" t="s">
        <v>119</v>
      </c>
      <c r="Y46" t="s">
        <v>96</v>
      </c>
      <c r="Z46" t="s">
        <v>97</v>
      </c>
      <c r="AA46" t="s">
        <v>131</v>
      </c>
      <c r="AB46" t="s">
        <v>99</v>
      </c>
      <c r="AC46" t="s">
        <v>171</v>
      </c>
      <c r="AD46" t="s">
        <v>89</v>
      </c>
      <c r="AE46" t="s">
        <v>114</v>
      </c>
      <c r="AF46" t="s">
        <v>103</v>
      </c>
      <c r="AG46" t="s">
        <v>139</v>
      </c>
      <c r="AH46" t="s">
        <v>143</v>
      </c>
      <c r="AI46" t="s">
        <v>106</v>
      </c>
      <c r="AJ46" t="s">
        <v>107</v>
      </c>
      <c r="AK46" t="s">
        <v>128</v>
      </c>
      <c r="AL46" t="s">
        <v>121</v>
      </c>
      <c r="AM46" t="s">
        <v>98</v>
      </c>
      <c r="AN46" t="s">
        <v>105</v>
      </c>
      <c r="AO46" t="s">
        <v>88</v>
      </c>
      <c r="AP46" t="s">
        <v>113</v>
      </c>
      <c r="AQ46" t="s">
        <v>90</v>
      </c>
      <c r="AR46" t="s">
        <v>91</v>
      </c>
      <c r="AS46" t="s">
        <v>104</v>
      </c>
      <c r="AT46" t="s">
        <v>93</v>
      </c>
      <c r="AU46" t="s">
        <v>94</v>
      </c>
      <c r="AV46" t="s">
        <v>95</v>
      </c>
      <c r="AW46" t="s">
        <v>108</v>
      </c>
      <c r="AX46" t="s">
        <v>109</v>
      </c>
      <c r="AY46" t="s">
        <v>96</v>
      </c>
      <c r="AZ46" t="s">
        <v>97</v>
      </c>
      <c r="BA46" t="s">
        <v>118</v>
      </c>
      <c r="BB46" t="s">
        <v>100</v>
      </c>
      <c r="BC46" t="s">
        <v>93</v>
      </c>
      <c r="BD46" t="s">
        <v>94</v>
      </c>
      <c r="BE46" t="s">
        <v>88</v>
      </c>
      <c r="BF46" t="s">
        <v>90</v>
      </c>
      <c r="BG46" t="s">
        <v>95</v>
      </c>
      <c r="BH46" t="s">
        <v>118</v>
      </c>
      <c r="BI46" t="s">
        <v>109</v>
      </c>
      <c r="BJ46" t="s">
        <v>91</v>
      </c>
      <c r="BK46" t="s">
        <v>93</v>
      </c>
      <c r="BL46" t="s">
        <v>94</v>
      </c>
      <c r="BM46" t="s">
        <v>95</v>
      </c>
      <c r="BN46" t="s">
        <v>88</v>
      </c>
      <c r="BO46" t="s">
        <v>93</v>
      </c>
      <c r="BP46" t="s">
        <v>95</v>
      </c>
      <c r="BQ46" t="s">
        <v>93</v>
      </c>
      <c r="BS46" t="s">
        <v>129</v>
      </c>
      <c r="BT46" t="s">
        <v>133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17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13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10.5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>SUM(BU46:CE46)</f>
        <v>40.5</v>
      </c>
    </row>
    <row r="47" spans="1:84" x14ac:dyDescent="0.2">
      <c r="A47" t="s">
        <v>182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183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110</v>
      </c>
      <c r="P47" t="s">
        <v>99</v>
      </c>
      <c r="Q47" t="s">
        <v>100</v>
      </c>
      <c r="R47" t="s">
        <v>89</v>
      </c>
      <c r="S47" t="s">
        <v>102</v>
      </c>
      <c r="T47" t="s">
        <v>103</v>
      </c>
      <c r="U47" t="s">
        <v>104</v>
      </c>
      <c r="V47" t="s">
        <v>105</v>
      </c>
      <c r="W47" t="s">
        <v>106</v>
      </c>
      <c r="X47" t="s">
        <v>107</v>
      </c>
      <c r="Y47" t="s">
        <v>108</v>
      </c>
      <c r="Z47" t="s">
        <v>109</v>
      </c>
      <c r="AA47" t="s">
        <v>98</v>
      </c>
      <c r="AB47" t="s">
        <v>111</v>
      </c>
      <c r="AC47" t="s">
        <v>112</v>
      </c>
      <c r="AD47" t="s">
        <v>127</v>
      </c>
      <c r="AE47" t="s">
        <v>114</v>
      </c>
      <c r="AF47" t="s">
        <v>115</v>
      </c>
      <c r="AG47" t="s">
        <v>116</v>
      </c>
      <c r="AH47" t="s">
        <v>117</v>
      </c>
      <c r="AI47" t="s">
        <v>118</v>
      </c>
      <c r="AJ47" t="s">
        <v>119</v>
      </c>
      <c r="AK47" t="s">
        <v>120</v>
      </c>
      <c r="AL47" t="s">
        <v>121</v>
      </c>
      <c r="AM47" t="s">
        <v>90</v>
      </c>
      <c r="AN47" t="s">
        <v>94</v>
      </c>
      <c r="AO47" t="s">
        <v>99</v>
      </c>
      <c r="AP47" t="s">
        <v>91</v>
      </c>
      <c r="AQ47" t="s">
        <v>108</v>
      </c>
      <c r="AR47" t="s">
        <v>93</v>
      </c>
      <c r="AS47" t="s">
        <v>101</v>
      </c>
      <c r="AT47" t="s">
        <v>92</v>
      </c>
      <c r="AU47" t="s">
        <v>88</v>
      </c>
      <c r="AV47" t="s">
        <v>106</v>
      </c>
      <c r="AW47" t="s">
        <v>86</v>
      </c>
      <c r="AX47" t="s">
        <v>97</v>
      </c>
      <c r="AY47" t="s">
        <v>95</v>
      </c>
      <c r="AZ47" t="s">
        <v>89</v>
      </c>
      <c r="BA47" t="s">
        <v>87</v>
      </c>
      <c r="BB47" t="s">
        <v>96</v>
      </c>
      <c r="BC47" t="s">
        <v>94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95</v>
      </c>
      <c r="BJ47" t="s">
        <v>96</v>
      </c>
      <c r="BK47" t="s">
        <v>94</v>
      </c>
      <c r="BL47" t="s">
        <v>93</v>
      </c>
      <c r="BM47" t="s">
        <v>88</v>
      </c>
      <c r="BN47" t="s">
        <v>96</v>
      </c>
      <c r="BO47" t="s">
        <v>93</v>
      </c>
      <c r="BP47" t="s">
        <v>96</v>
      </c>
      <c r="BQ47" t="s">
        <v>93</v>
      </c>
      <c r="BS47" t="s">
        <v>151</v>
      </c>
      <c r="BT47" t="s">
        <v>123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16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13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9.5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2</v>
      </c>
      <c r="CE47">
        <f>IF(BR47='Resultats Reals'!$L$2,5,0)</f>
        <v>0</v>
      </c>
      <c r="CF47" s="7">
        <f>SUM(BU47:CE47)</f>
        <v>40.5</v>
      </c>
    </row>
    <row r="48" spans="1:84" x14ac:dyDescent="0.2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16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11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12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>SUM(BU48:CE48)</f>
        <v>39</v>
      </c>
    </row>
    <row r="49" spans="1:84" x14ac:dyDescent="0.2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18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12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>SUM(BU49:CE49)</f>
        <v>36.5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3" sqref="B3"/>
    </sheetView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243</v>
      </c>
      <c r="B1" t="s">
        <v>244</v>
      </c>
    </row>
    <row r="2" spans="1:2" x14ac:dyDescent="0.2">
      <c r="A2" s="12" t="s">
        <v>174</v>
      </c>
      <c r="B2" s="18">
        <v>56</v>
      </c>
    </row>
    <row r="3" spans="1:2" x14ac:dyDescent="0.2">
      <c r="A3" s="12" t="s">
        <v>135</v>
      </c>
      <c r="B3" s="18">
        <v>56</v>
      </c>
    </row>
    <row r="4" spans="1:2" x14ac:dyDescent="0.2">
      <c r="A4" s="12" t="s">
        <v>205</v>
      </c>
      <c r="B4" s="18">
        <v>54.5</v>
      </c>
    </row>
    <row r="5" spans="1:2" x14ac:dyDescent="0.2">
      <c r="A5" s="12" t="s">
        <v>150</v>
      </c>
      <c r="B5" s="18">
        <v>54</v>
      </c>
    </row>
    <row r="6" spans="1:2" x14ac:dyDescent="0.2">
      <c r="A6" s="12" t="s">
        <v>208</v>
      </c>
      <c r="B6" s="18">
        <v>53.5</v>
      </c>
    </row>
    <row r="7" spans="1:2" x14ac:dyDescent="0.2">
      <c r="A7" s="12" t="s">
        <v>214</v>
      </c>
      <c r="B7" s="18">
        <v>53.5</v>
      </c>
    </row>
    <row r="8" spans="1:2" x14ac:dyDescent="0.2">
      <c r="A8" s="12" t="s">
        <v>210</v>
      </c>
      <c r="B8" s="18">
        <v>52</v>
      </c>
    </row>
    <row r="9" spans="1:2" x14ac:dyDescent="0.2">
      <c r="A9" s="12" t="s">
        <v>124</v>
      </c>
      <c r="B9" s="18">
        <v>52</v>
      </c>
    </row>
    <row r="10" spans="1:2" x14ac:dyDescent="0.2">
      <c r="A10" s="12" t="s">
        <v>185</v>
      </c>
      <c r="B10" s="18">
        <v>51.5</v>
      </c>
    </row>
    <row r="11" spans="1:2" x14ac:dyDescent="0.2">
      <c r="A11" s="12" t="s">
        <v>138</v>
      </c>
      <c r="B11" s="18">
        <v>51</v>
      </c>
    </row>
    <row r="12" spans="1:2" x14ac:dyDescent="0.2">
      <c r="A12" s="12" t="s">
        <v>184</v>
      </c>
      <c r="B12" s="18">
        <v>50.5</v>
      </c>
    </row>
    <row r="13" spans="1:2" x14ac:dyDescent="0.2">
      <c r="A13" s="12" t="s">
        <v>169</v>
      </c>
      <c r="B13" s="18">
        <v>50</v>
      </c>
    </row>
    <row r="14" spans="1:2" x14ac:dyDescent="0.2">
      <c r="A14" s="12" t="s">
        <v>189</v>
      </c>
      <c r="B14" s="18">
        <v>50</v>
      </c>
    </row>
    <row r="15" spans="1:2" x14ac:dyDescent="0.2">
      <c r="A15" s="12" t="s">
        <v>157</v>
      </c>
      <c r="B15" s="18">
        <v>49.5</v>
      </c>
    </row>
    <row r="16" spans="1:2" x14ac:dyDescent="0.2">
      <c r="A16" s="12" t="s">
        <v>191</v>
      </c>
      <c r="B16" s="18">
        <v>49.5</v>
      </c>
    </row>
    <row r="17" spans="1:2" x14ac:dyDescent="0.2">
      <c r="A17" s="12" t="s">
        <v>196</v>
      </c>
      <c r="B17" s="18">
        <v>49.5</v>
      </c>
    </row>
    <row r="18" spans="1:2" x14ac:dyDescent="0.2">
      <c r="A18" s="12" t="s">
        <v>137</v>
      </c>
      <c r="B18" s="18">
        <v>49.5</v>
      </c>
    </row>
    <row r="19" spans="1:2" x14ac:dyDescent="0.2">
      <c r="A19" s="12" t="s">
        <v>209</v>
      </c>
      <c r="B19" s="18">
        <v>49</v>
      </c>
    </row>
    <row r="20" spans="1:2" x14ac:dyDescent="0.2">
      <c r="A20" s="12" t="s">
        <v>154</v>
      </c>
      <c r="B20" s="18">
        <v>48.5</v>
      </c>
    </row>
    <row r="21" spans="1:2" x14ac:dyDescent="0.2">
      <c r="A21" s="12" t="s">
        <v>206</v>
      </c>
      <c r="B21" s="18">
        <v>48.5</v>
      </c>
    </row>
    <row r="22" spans="1:2" x14ac:dyDescent="0.2">
      <c r="A22" s="12" t="s">
        <v>176</v>
      </c>
      <c r="B22" s="18">
        <v>48</v>
      </c>
    </row>
    <row r="23" spans="1:2" x14ac:dyDescent="0.2">
      <c r="A23" s="12" t="s">
        <v>187</v>
      </c>
      <c r="B23" s="18">
        <v>48</v>
      </c>
    </row>
    <row r="24" spans="1:2" x14ac:dyDescent="0.2">
      <c r="A24" s="12" t="s">
        <v>181</v>
      </c>
      <c r="B24" s="18">
        <v>48</v>
      </c>
    </row>
    <row r="25" spans="1:2" x14ac:dyDescent="0.2">
      <c r="A25" s="12" t="s">
        <v>152</v>
      </c>
      <c r="B25" s="18">
        <v>48</v>
      </c>
    </row>
    <row r="26" spans="1:2" x14ac:dyDescent="0.2">
      <c r="A26" s="12" t="s">
        <v>192</v>
      </c>
      <c r="B26" s="18">
        <v>48</v>
      </c>
    </row>
    <row r="27" spans="1:2" x14ac:dyDescent="0.2">
      <c r="A27" s="12" t="s">
        <v>159</v>
      </c>
      <c r="B27" s="18">
        <v>47.5</v>
      </c>
    </row>
    <row r="28" spans="1:2" x14ac:dyDescent="0.2">
      <c r="A28" s="12" t="s">
        <v>84</v>
      </c>
      <c r="B28" s="18">
        <v>47.5</v>
      </c>
    </row>
    <row r="29" spans="1:2" x14ac:dyDescent="0.2">
      <c r="A29" s="12" t="s">
        <v>147</v>
      </c>
      <c r="B29" s="18">
        <v>47.5</v>
      </c>
    </row>
    <row r="30" spans="1:2" x14ac:dyDescent="0.2">
      <c r="A30" s="12" t="s">
        <v>179</v>
      </c>
      <c r="B30" s="18">
        <v>47</v>
      </c>
    </row>
    <row r="31" spans="1:2" x14ac:dyDescent="0.2">
      <c r="A31" s="12" t="s">
        <v>178</v>
      </c>
      <c r="B31" s="18">
        <v>47</v>
      </c>
    </row>
    <row r="32" spans="1:2" x14ac:dyDescent="0.2">
      <c r="A32" s="12" t="s">
        <v>156</v>
      </c>
      <c r="B32" s="18">
        <v>46.5</v>
      </c>
    </row>
    <row r="33" spans="1:2" x14ac:dyDescent="0.2">
      <c r="A33" s="12" t="s">
        <v>166</v>
      </c>
      <c r="B33" s="18">
        <v>46.5</v>
      </c>
    </row>
    <row r="34" spans="1:2" x14ac:dyDescent="0.2">
      <c r="A34" s="12" t="s">
        <v>170</v>
      </c>
      <c r="B34" s="18">
        <v>46.5</v>
      </c>
    </row>
    <row r="35" spans="1:2" x14ac:dyDescent="0.2">
      <c r="A35" s="12" t="s">
        <v>168</v>
      </c>
      <c r="B35" s="18">
        <v>46</v>
      </c>
    </row>
    <row r="36" spans="1:2" x14ac:dyDescent="0.2">
      <c r="A36" s="12" t="s">
        <v>153</v>
      </c>
      <c r="B36" s="18">
        <v>46</v>
      </c>
    </row>
    <row r="37" spans="1:2" x14ac:dyDescent="0.2">
      <c r="A37" s="12" t="s">
        <v>160</v>
      </c>
      <c r="B37" s="18">
        <v>45.5</v>
      </c>
    </row>
    <row r="38" spans="1:2" x14ac:dyDescent="0.2">
      <c r="A38" s="12" t="s">
        <v>202</v>
      </c>
      <c r="B38" s="18">
        <v>45.5</v>
      </c>
    </row>
    <row r="39" spans="1:2" x14ac:dyDescent="0.2">
      <c r="A39" s="12" t="s">
        <v>203</v>
      </c>
      <c r="B39" s="18">
        <v>45</v>
      </c>
    </row>
    <row r="40" spans="1:2" x14ac:dyDescent="0.2">
      <c r="A40" s="12" t="s">
        <v>215</v>
      </c>
      <c r="B40" s="18">
        <v>44.5</v>
      </c>
    </row>
    <row r="41" spans="1:2" x14ac:dyDescent="0.2">
      <c r="A41" s="12" t="s">
        <v>163</v>
      </c>
      <c r="B41" s="18">
        <v>44.5</v>
      </c>
    </row>
    <row r="42" spans="1:2" x14ac:dyDescent="0.2">
      <c r="A42" s="12" t="s">
        <v>172</v>
      </c>
      <c r="B42" s="18">
        <v>44.5</v>
      </c>
    </row>
    <row r="43" spans="1:2" x14ac:dyDescent="0.2">
      <c r="A43" s="12" t="s">
        <v>193</v>
      </c>
      <c r="B43" s="18">
        <v>43</v>
      </c>
    </row>
    <row r="44" spans="1:2" x14ac:dyDescent="0.2">
      <c r="A44" s="12" t="s">
        <v>175</v>
      </c>
      <c r="B44" s="18">
        <v>42.5</v>
      </c>
    </row>
    <row r="45" spans="1:2" x14ac:dyDescent="0.2">
      <c r="A45" s="12" t="s">
        <v>182</v>
      </c>
      <c r="B45" s="18">
        <v>42.5</v>
      </c>
    </row>
    <row r="46" spans="1:2" x14ac:dyDescent="0.2">
      <c r="A46" s="12" t="s">
        <v>130</v>
      </c>
      <c r="B46" s="18">
        <v>42.5</v>
      </c>
    </row>
    <row r="47" spans="1:2" x14ac:dyDescent="0.2">
      <c r="A47" s="12" t="s">
        <v>198</v>
      </c>
      <c r="B47" s="18">
        <v>42</v>
      </c>
    </row>
    <row r="48" spans="1:2" x14ac:dyDescent="0.2">
      <c r="A48" s="12" t="s">
        <v>213</v>
      </c>
      <c r="B48" s="18">
        <v>41</v>
      </c>
    </row>
    <row r="49" spans="1:2" x14ac:dyDescent="0.2">
      <c r="A49" s="12" t="s">
        <v>140</v>
      </c>
      <c r="B49" s="18">
        <v>38.5</v>
      </c>
    </row>
    <row r="50" spans="1:2" x14ac:dyDescent="0.2">
      <c r="A50" s="12" t="s">
        <v>245</v>
      </c>
      <c r="B50" s="18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47"/>
  <sheetViews>
    <sheetView topLeftCell="A19" workbookViewId="0">
      <selection activeCell="B38" sqref="B38"/>
    </sheetView>
  </sheetViews>
  <sheetFormatPr defaultColWidth="10.76171875" defaultRowHeight="15" x14ac:dyDescent="0.2"/>
  <cols>
    <col min="1" max="1" width="19.37109375" bestFit="1" customWidth="1"/>
    <col min="2" max="3" width="18.96484375" bestFit="1" customWidth="1"/>
  </cols>
  <sheetData>
    <row r="1" spans="1:3" x14ac:dyDescent="0.2">
      <c r="A1" t="s">
        <v>90</v>
      </c>
      <c r="B1" s="15" t="s">
        <v>247</v>
      </c>
      <c r="C1" s="15" t="s">
        <v>248</v>
      </c>
    </row>
    <row r="2" spans="1:3" x14ac:dyDescent="0.2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128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131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132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2026-06-23T09:48:39Z</dcterms:modified>
</cp:coreProperties>
</file>