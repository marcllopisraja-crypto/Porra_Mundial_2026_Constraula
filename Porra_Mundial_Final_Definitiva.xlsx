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1" documentId="8_{D6FD70C9-99B0-4E41-B641-325FE8B5924A}" xr6:coauthVersionLast="47" xr6:coauthVersionMax="47" xr10:uidLastSave="{CBEDBBF6-E66B-AB47-B04F-E33461E8C670}"/>
  <bookViews>
    <workbookView xWindow="-12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  <definedName name="_xlnm._FilterDatabase" localSheetId="0" hidden="1">'Resultats Reals'!$N$1:$O$14</definedName>
  </definedNames>
  <calcPr calcId="191028"/>
  <pivotCaches>
    <pivotCache cacheId="7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C19" i="5" a="1"/>
  <c r="E18" i="1"/>
  <c r="C18" i="5" a="1"/>
  <c r="E17" i="1"/>
  <c r="C17" i="5" a="1"/>
  <c r="E16" i="1"/>
  <c r="E15" i="1"/>
  <c r="E14" i="1"/>
  <c r="E13" i="1"/>
  <c r="C13" i="5" a="1"/>
  <c r="E12" i="1"/>
  <c r="E11" i="1"/>
  <c r="C11" i="5" a="1"/>
  <c r="E10" i="1"/>
  <c r="E9" i="1"/>
  <c r="C9" i="5" a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6" i="5" a="1"/>
  <c r="C15" i="5" a="1"/>
  <c r="C14" i="5" a="1"/>
  <c r="C12" i="5" a="1"/>
  <c r="C10" i="5" a="1"/>
  <c r="C7" i="5" a="1"/>
  <c r="C6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X8" i="2"/>
  <c r="BY8" i="2"/>
  <c r="BZ8" i="2"/>
  <c r="CA8" i="2"/>
  <c r="CB8" i="2"/>
  <c r="CC8" i="2"/>
  <c r="CD8" i="2"/>
  <c r="CE8" i="2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7" i="2"/>
  <c r="CD7" i="2"/>
  <c r="CC7" i="2"/>
  <c r="CB7" i="2"/>
  <c r="CA7" i="2"/>
  <c r="BZ7" i="2"/>
  <c r="BY7" i="2"/>
  <c r="BX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V4" i="2"/>
  <c r="BV33" i="2"/>
  <c r="BU7" i="2"/>
  <c r="BU21" i="2"/>
  <c r="BW22" i="2"/>
  <c r="BW31" i="2"/>
  <c r="BW19" i="2"/>
  <c r="BW46" i="2"/>
  <c r="BU31" i="2"/>
  <c r="BU15" i="2"/>
  <c r="BW49" i="2"/>
  <c r="BV10" i="2"/>
  <c r="BU26" i="2"/>
  <c r="BW34" i="2"/>
  <c r="BV29" i="2"/>
  <c r="BW20" i="2"/>
  <c r="BV47" i="2"/>
  <c r="BU38" i="2"/>
  <c r="BW7" i="2"/>
  <c r="BV31" i="2"/>
  <c r="BV46" i="2"/>
  <c r="BU16" i="2"/>
  <c r="BW3" i="2"/>
  <c r="BU48" i="2"/>
  <c r="BW44" i="2"/>
  <c r="BU44" i="2"/>
  <c r="C8" i="5" a="1"/>
  <c r="BU39" i="2"/>
  <c r="BV14" i="2"/>
  <c r="BV28" i="2"/>
  <c r="BW48" i="2"/>
  <c r="BV41" i="2"/>
  <c r="BW24" i="2"/>
  <c r="BW18" i="2"/>
  <c r="BW33" i="2"/>
  <c r="BV43" i="2"/>
  <c r="BW26" i="2"/>
  <c r="BU24" i="2"/>
  <c r="BV39" i="2"/>
  <c r="BU9" i="2"/>
  <c r="BU10" i="2"/>
  <c r="BV3" i="2"/>
  <c r="BU27" i="2"/>
  <c r="BU49" i="2"/>
  <c r="BW5" i="2"/>
  <c r="BV15" i="2"/>
  <c r="BV5" i="2"/>
  <c r="BU41" i="2"/>
  <c r="BW47" i="2"/>
  <c r="BV12" i="2"/>
  <c r="BV49" i="2"/>
  <c r="BU5" i="2"/>
  <c r="BW30" i="2"/>
  <c r="BW42" i="2"/>
  <c r="BV48" i="2"/>
  <c r="BW36" i="2"/>
  <c r="BV44" i="2"/>
  <c r="BU30" i="2"/>
  <c r="BW41" i="2"/>
  <c r="BW9" i="2"/>
  <c r="BV16" i="2"/>
  <c r="BW6" i="2"/>
  <c r="BU43" i="2"/>
  <c r="BV32" i="2"/>
  <c r="BU40" i="2"/>
  <c r="BW27" i="2"/>
  <c r="BV35" i="2"/>
  <c r="BV11" i="2"/>
  <c r="BU19" i="2"/>
  <c r="BU34" i="2"/>
  <c r="BU13" i="2"/>
  <c r="BU32" i="2"/>
  <c r="BW39" i="2"/>
  <c r="BW21" i="2"/>
  <c r="BW37" i="2"/>
  <c r="BW23" i="2"/>
  <c r="BU17" i="2"/>
  <c r="BU4" i="2"/>
  <c r="BU6" i="2"/>
  <c r="C5" i="5" a="1"/>
  <c r="BV38" i="2"/>
  <c r="BU46" i="2"/>
  <c r="BV37" i="2"/>
  <c r="BW28" i="2"/>
  <c r="BV34" i="2"/>
  <c r="BV17" i="2"/>
  <c r="BU33" i="2"/>
  <c r="BW15" i="2"/>
  <c r="BW14" i="2"/>
  <c r="BU36" i="2"/>
  <c r="BV9" i="2"/>
  <c r="BV23" i="2"/>
  <c r="BU29" i="2"/>
  <c r="BV13" i="2"/>
  <c r="BV22" i="2"/>
  <c r="BW11" i="2"/>
  <c r="BV7" i="2"/>
  <c r="BV24" i="2"/>
  <c r="BW40" i="2"/>
  <c r="BV8" i="2"/>
  <c r="BU18" i="2"/>
  <c r="BW25" i="2"/>
  <c r="BU47" i="2"/>
  <c r="BU14" i="2"/>
  <c r="BV6" i="2"/>
  <c r="BW4" i="2"/>
  <c r="BU12" i="2"/>
  <c r="BU22" i="2"/>
  <c r="BU8" i="2"/>
  <c r="BV20" i="2"/>
  <c r="BV40" i="2"/>
  <c r="BW10" i="2"/>
  <c r="BW38" i="2"/>
  <c r="BV45" i="2"/>
  <c r="BV36" i="2"/>
  <c r="BU2" i="2"/>
  <c r="BV42" i="2"/>
  <c r="BW13" i="2"/>
  <c r="BW17" i="2"/>
  <c r="BU28" i="2"/>
  <c r="BW35" i="2"/>
  <c r="BU35" i="2"/>
  <c r="BV27" i="2"/>
  <c r="BU3" i="2"/>
  <c r="BV2" i="2"/>
  <c r="BW32" i="2"/>
  <c r="BU23" i="2"/>
  <c r="BU42" i="2"/>
  <c r="BW43" i="2"/>
  <c r="BV25" i="2"/>
  <c r="BV18" i="2"/>
  <c r="BV19" i="2"/>
  <c r="BU45" i="2"/>
  <c r="BU20" i="2"/>
  <c r="BW12" i="2"/>
  <c r="BW29" i="2"/>
  <c r="BU25" i="2"/>
  <c r="C4" i="5" a="1"/>
  <c r="BW16" i="2"/>
  <c r="BW2" i="2"/>
  <c r="BW8" i="2"/>
  <c r="BV30" i="2"/>
  <c r="BW45" i="2"/>
  <c r="BV26" i="2"/>
  <c r="BV21" i="2"/>
  <c r="BU11" i="2"/>
  <c r="BU37" i="2"/>
  <c r="CF33" i="2"/>
  <c r="CF31" i="2"/>
  <c r="CF26" i="2"/>
  <c r="CF7" i="2"/>
  <c r="CF37" i="2"/>
  <c r="CF3" i="2"/>
  <c r="CF19" i="2"/>
  <c r="CF39" i="2"/>
  <c r="CF44" i="2"/>
  <c r="CF24" i="2"/>
  <c r="CF22" i="2"/>
  <c r="CF35" i="2"/>
  <c r="CF5" i="2"/>
  <c r="CF48" i="2"/>
  <c r="CF34" i="2"/>
  <c r="CF27" i="2"/>
  <c r="CF20" i="2"/>
  <c r="CF23" i="2"/>
  <c r="CF46" i="2"/>
  <c r="CF17" i="2"/>
  <c r="CF13" i="2"/>
  <c r="CF14" i="2"/>
  <c r="CF28" i="2"/>
  <c r="CF38" i="2"/>
  <c r="CF8" i="2"/>
  <c r="CF16" i="2"/>
  <c r="CF6" i="2"/>
  <c r="CF40" i="2"/>
  <c r="CF49" i="2"/>
  <c r="CF32" i="2"/>
  <c r="CF9" i="2"/>
  <c r="CF21" i="2"/>
  <c r="CF42" i="2"/>
  <c r="CF36" i="2"/>
  <c r="CF41" i="2"/>
  <c r="CF10" i="2"/>
  <c r="CF18" i="2"/>
  <c r="CF47" i="2"/>
  <c r="CF4" i="2"/>
  <c r="CF15" i="2"/>
  <c r="CF30" i="2"/>
  <c r="CF12" i="2"/>
  <c r="CF45" i="2"/>
  <c r="CF11" i="2"/>
  <c r="CF43" i="2"/>
  <c r="CF2" i="2"/>
  <c r="CF25" i="2"/>
  <c r="CF2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<sst xmlns="http://schemas.openxmlformats.org/spreadsheetml/2006/main" count="3780" uniqueCount="249">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</sst>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pivotCacheDefinition" Target="pivotCache/pivotCacheDefinition1.xml" /><Relationship Id="rId10" Type="http://schemas.openxmlformats.org/officeDocument/2006/relationships/calcChain" Target="calcChain.xml" /><Relationship Id="rId4" Type="http://schemas.openxmlformats.org/officeDocument/2006/relationships/worksheet" Target="worksheets/sheet4.xml" /><Relationship Id="rId9" Type="http://schemas.openxmlformats.org/officeDocument/2006/relationships/sheetMetadata" Target="metadata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A2" workbookViewId="0">
      <selection activeCell="C26" sqref="C26"/>
    </sheetView>
  </sheetViews>
  <sheetFormatPr defaultColWidth="9.14453125" defaultRowHeight="15" x14ac:dyDescent="0.2"/>
  <cols>
    <col min="1" max="1" width="6.9921875" bestFit="1" customWidth="1"/>
    <col min="2" max="2" width="8.47265625" bestFit="1" customWidth="1"/>
    <col min="3" max="3" width="19.37109375" bestFit="1" customWidth="1"/>
    <col min="5" max="5" width="15.19921875" bestFit="1" customWidth="1"/>
    <col min="6" max="8" width="8.609375" bestFit="1" customWidth="1"/>
    <col min="9" max="9" width="10.76171875" bestFit="1" customWidth="1"/>
    <col min="10" max="11" width="8.609375" bestFit="1" customWidth="1"/>
    <col min="12" max="12" width="14.796875" bestFit="1" customWidth="1"/>
    <col min="13" max="13" width="9.953125" customWidth="1"/>
    <col min="14" max="14" width="22.59765625" bestFit="1" customWidth="1"/>
    <col min="15" max="15" width="10.22265625" bestFit="1" customWidth="1"/>
    <col min="18" max="18" width="9.01171875" bestFit="1" customWidth="1"/>
    <col min="19" max="19" width="9.68359375" bestFit="1" customWidth="1"/>
    <col min="20" max="20" width="15.6015625" bestFit="1" customWidth="1"/>
  </cols>
  <sheetData>
    <row r="1" spans="1:15" x14ac:dyDescent="0.2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">
      <c r="A2" s="2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">
      <c r="A3" s="2" t="s">
        <v>227</v>
      </c>
      <c r="B3" s="2" t="s">
        <v>230</v>
      </c>
      <c r="C3" s="3" t="s">
        <v>98</v>
      </c>
      <c r="E3" s="14" t="str">
        <f>+C3</f>
        <v>Corea del Sud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">
      <c r="A4" s="2" t="s">
        <v>227</v>
      </c>
      <c r="B4" s="2" t="s">
        <v>231</v>
      </c>
      <c r="C4" s="16" t="s">
        <v>110</v>
      </c>
      <c r="E4" s="14" t="str">
        <f>+C5</f>
        <v>Canadà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">
      <c r="A5" s="2" t="s">
        <v>232</v>
      </c>
      <c r="B5" s="2" t="s">
        <v>228</v>
      </c>
      <c r="C5" s="3" t="s">
        <v>99</v>
      </c>
      <c r="E5" s="14" t="str">
        <f>+C6</f>
        <v>Suïssa</v>
      </c>
      <c r="F5" s="10" t="s">
        <v>229</v>
      </c>
      <c r="G5" s="10" t="s">
        <v>229</v>
      </c>
      <c r="H5" s="10" t="s">
        <v>229</v>
      </c>
      <c r="N5" t="s">
        <v>155</v>
      </c>
      <c r="O5" s="3">
        <v>2</v>
      </c>
    </row>
    <row r="6" spans="1:15" x14ac:dyDescent="0.2">
      <c r="A6" s="2" t="s">
        <v>232</v>
      </c>
      <c r="B6" s="2" t="s">
        <v>230</v>
      </c>
      <c r="C6" s="3" t="s">
        <v>87</v>
      </c>
      <c r="E6" s="14" t="str">
        <f>+C8</f>
        <v>Brasil</v>
      </c>
      <c r="F6" s="10" t="s">
        <v>229</v>
      </c>
      <c r="G6" s="10" t="s">
        <v>229</v>
      </c>
      <c r="N6" t="s">
        <v>167</v>
      </c>
      <c r="O6" s="3">
        <v>2</v>
      </c>
    </row>
    <row r="7" spans="1:15" x14ac:dyDescent="0.2">
      <c r="A7" s="2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">
      <c r="A8" s="2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">
      <c r="A9" s="2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">
      <c r="A10" s="2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">
      <c r="A11" s="2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">
      <c r="A12" s="2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">
      <c r="A13" s="2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">
      <c r="A14" s="2" t="s">
        <v>235</v>
      </c>
      <c r="B14" s="2" t="s">
        <v>228</v>
      </c>
      <c r="C14" s="3" t="s">
        <v>90</v>
      </c>
      <c r="E14" s="14" t="str">
        <f>+C20</f>
        <v>Egipte</v>
      </c>
      <c r="F14" s="10" t="s">
        <v>229</v>
      </c>
      <c r="N14" t="s">
        <v>201</v>
      </c>
      <c r="O14" s="3">
        <v>0</v>
      </c>
    </row>
    <row r="15" spans="1:15" x14ac:dyDescent="0.2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">
      <c r="A16" s="2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">
      <c r="A17" s="2" t="s">
        <v>236</v>
      </c>
      <c r="B17" s="2" t="s">
        <v>228</v>
      </c>
      <c r="C17" s="3" t="s">
        <v>91</v>
      </c>
      <c r="E17" s="14" t="str">
        <f>+C24</f>
        <v>Uruguai</v>
      </c>
      <c r="F17" s="10" t="s">
        <v>229</v>
      </c>
    </row>
    <row r="18" spans="1:6" x14ac:dyDescent="0.2">
      <c r="A18" s="2" t="s">
        <v>236</v>
      </c>
      <c r="B18" s="2" t="s">
        <v>230</v>
      </c>
      <c r="C18" s="3" t="s">
        <v>115</v>
      </c>
      <c r="E18" s="14" t="str">
        <f>+C26</f>
        <v>Alemanya</v>
      </c>
    </row>
    <row r="19" spans="1:6" x14ac:dyDescent="0.2">
      <c r="A19" s="2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">
      <c r="A20" s="2" t="s">
        <v>237</v>
      </c>
      <c r="B20" s="2" t="s">
        <v>228</v>
      </c>
      <c r="C20" s="3" t="s">
        <v>104</v>
      </c>
      <c r="E20" s="14" t="str">
        <f>+C29</f>
        <v>Argentina</v>
      </c>
    </row>
    <row r="21" spans="1:6" x14ac:dyDescent="0.2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">
      <c r="A22" s="2" t="s">
        <v>237</v>
      </c>
      <c r="B22" s="2" t="s">
        <v>231</v>
      </c>
      <c r="C22" s="16" t="s">
        <v>92</v>
      </c>
      <c r="E22" s="14" t="str">
        <f>+C32</f>
        <v>Colòmbia</v>
      </c>
    </row>
    <row r="23" spans="1:6" x14ac:dyDescent="0.2">
      <c r="A23" s="2" t="s">
        <v>238</v>
      </c>
      <c r="B23" s="2" t="s">
        <v>228</v>
      </c>
      <c r="C23" s="3" t="s">
        <v>93</v>
      </c>
      <c r="E23" s="14" t="str">
        <f>+C33</f>
        <v>RD Congo</v>
      </c>
    </row>
    <row r="24" spans="1:6" x14ac:dyDescent="0.2">
      <c r="A24" s="2" t="s">
        <v>238</v>
      </c>
      <c r="B24" s="2" t="s">
        <v>230</v>
      </c>
      <c r="C24" s="3" t="s">
        <v>105</v>
      </c>
      <c r="E24" s="14" t="str">
        <f>+C35</f>
        <v>Anglaterra</v>
      </c>
    </row>
    <row r="25" spans="1:6" x14ac:dyDescent="0.2">
      <c r="A25" s="2" t="s">
        <v>238</v>
      </c>
      <c r="B25" s="2" t="s">
        <v>231</v>
      </c>
      <c r="C25" s="16" t="s">
        <v>143</v>
      </c>
      <c r="E25" s="14" t="str">
        <f>+C36</f>
        <v>Ghana</v>
      </c>
    </row>
    <row r="26" spans="1:6" x14ac:dyDescent="0.2">
      <c r="A26" s="2" t="s">
        <v>239</v>
      </c>
      <c r="B26" s="2" t="s">
        <v>228</v>
      </c>
      <c r="C26" s="3" t="s">
        <v>90</v>
      </c>
      <c r="E26" s="10" t="s">
        <v>103</v>
      </c>
      <c r="F26" s="3"/>
    </row>
    <row r="27" spans="1:6" x14ac:dyDescent="0.2">
      <c r="A27" s="2" t="s">
        <v>239</v>
      </c>
      <c r="B27" s="2" t="s">
        <v>230</v>
      </c>
      <c r="C27" s="3" t="s">
        <v>118</v>
      </c>
      <c r="E27" s="10" t="s">
        <v>112</v>
      </c>
    </row>
    <row r="28" spans="1:6" x14ac:dyDescent="0.2">
      <c r="A28" s="2" t="s">
        <v>239</v>
      </c>
      <c r="B28" s="2" t="s">
        <v>231</v>
      </c>
      <c r="C28" s="16" t="s">
        <v>106</v>
      </c>
      <c r="E28" s="10" t="s">
        <v>113</v>
      </c>
    </row>
    <row r="29" spans="1:6" x14ac:dyDescent="0.2">
      <c r="A29" s="2" t="s">
        <v>240</v>
      </c>
      <c r="B29" s="2" t="s">
        <v>228</v>
      </c>
      <c r="C29" s="3" t="s">
        <v>95</v>
      </c>
      <c r="E29" s="10" t="s">
        <v>143</v>
      </c>
    </row>
    <row r="30" spans="1:6" x14ac:dyDescent="0.2">
      <c r="A30" s="2" t="s">
        <v>240</v>
      </c>
      <c r="B30" s="2" t="s">
        <v>230</v>
      </c>
      <c r="C30" s="13" t="s">
        <v>107</v>
      </c>
      <c r="E30" s="10" t="s">
        <v>92</v>
      </c>
    </row>
    <row r="31" spans="1:6" x14ac:dyDescent="0.2">
      <c r="A31" s="2" t="s">
        <v>240</v>
      </c>
      <c r="B31" s="2" t="s">
        <v>231</v>
      </c>
      <c r="C31" s="17" t="s">
        <v>119</v>
      </c>
      <c r="E31" s="10" t="s">
        <v>96</v>
      </c>
    </row>
    <row r="32" spans="1:6" x14ac:dyDescent="0.2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">
      <c r="A33" s="2" t="s">
        <v>241</v>
      </c>
      <c r="B33" s="2" t="s">
        <v>230</v>
      </c>
      <c r="C33" s="3" t="s">
        <v>128</v>
      </c>
      <c r="E33" s="10" t="s">
        <v>102</v>
      </c>
    </row>
    <row r="34" spans="1:5" x14ac:dyDescent="0.2">
      <c r="A34" s="2" t="s">
        <v>241</v>
      </c>
      <c r="B34" s="2" t="s">
        <v>231</v>
      </c>
      <c r="C34" s="16" t="s">
        <v>96</v>
      </c>
    </row>
    <row r="35" spans="1:5" x14ac:dyDescent="0.2">
      <c r="A35" s="2" t="s">
        <v>242</v>
      </c>
      <c r="B35" s="2" t="s">
        <v>228</v>
      </c>
      <c r="C35" s="3" t="s">
        <v>97</v>
      </c>
    </row>
    <row r="36" spans="1:5" x14ac:dyDescent="0.2">
      <c r="A36" s="2" t="s">
        <v>242</v>
      </c>
      <c r="B36" s="2" t="s">
        <v>230</v>
      </c>
      <c r="C36" s="3" t="s">
        <v>121</v>
      </c>
    </row>
    <row r="37" spans="1:5" x14ac:dyDescent="0.2">
      <c r="A37" s="2" t="s">
        <v>242</v>
      </c>
      <c r="B37" s="2" t="s">
        <v>231</v>
      </c>
      <c r="C37" s="16" t="s">
        <v>145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33" xr:uid="{E4A41900-CC37-48F7-B004-B74485AD8A27}">
      <formula1>$C$2:$C$37</formula1>
    </dataValidation>
  </dataValidations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BP1" zoomScale="115" zoomScaleNormal="115" workbookViewId="0">
      <selection activeCell="BJ8" sqref="A8:XFD8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19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13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11.5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2</v>
      </c>
      <c r="CE2">
        <f>IF(BR2='Resultats Reals'!$L$2,5,0)</f>
        <v>0</v>
      </c>
      <c r="CF2" s="7">
        <f t="shared" ref="CF2:CF49" si="0">SUM(BU2:CE2)</f>
        <v>45.5</v>
      </c>
    </row>
    <row r="3" spans="1:84" x14ac:dyDescent="0.2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19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11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 t="shared" si="0"/>
        <v>50</v>
      </c>
    </row>
    <row r="4" spans="1:84" x14ac:dyDescent="0.2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19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14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7.5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40.5</v>
      </c>
    </row>
    <row r="5" spans="1:84" x14ac:dyDescent="0.2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20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18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12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 t="shared" si="0"/>
        <v>54</v>
      </c>
    </row>
    <row r="6" spans="1:84" x14ac:dyDescent="0.2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17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15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11.5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 t="shared" si="0"/>
        <v>47.5</v>
      </c>
    </row>
    <row r="7" spans="1:84" ht="15.75" customHeight="1" x14ac:dyDescent="0.2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19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15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 t="shared" si="0"/>
        <v>49</v>
      </c>
    </row>
    <row r="8" spans="1:84" x14ac:dyDescent="0.2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18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12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6.5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36.5</v>
      </c>
    </row>
    <row r="9" spans="1:84" x14ac:dyDescent="0.2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15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14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12.5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 t="shared" si="0"/>
        <v>45.5</v>
      </c>
    </row>
    <row r="10" spans="1:84" x14ac:dyDescent="0.2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18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16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 t="shared" si="0"/>
        <v>52</v>
      </c>
    </row>
    <row r="11" spans="1:84" x14ac:dyDescent="0.2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17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8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4</v>
      </c>
      <c r="CE11">
        <f>IF(BR11='Resultats Reals'!$L$2,5,0)</f>
        <v>0</v>
      </c>
      <c r="CF11" s="7">
        <f t="shared" si="0"/>
        <v>46</v>
      </c>
    </row>
    <row r="12" spans="1:84" x14ac:dyDescent="0.2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14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15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11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 t="shared" si="0"/>
        <v>44</v>
      </c>
    </row>
    <row r="13" spans="1:84" x14ac:dyDescent="0.2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17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10.5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46.5</v>
      </c>
    </row>
    <row r="14" spans="1:84" x14ac:dyDescent="0.2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19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13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12.5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44.5</v>
      </c>
    </row>
    <row r="15" spans="1:84" x14ac:dyDescent="0.2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18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17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12.5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47.5</v>
      </c>
    </row>
    <row r="16" spans="1:84" x14ac:dyDescent="0.2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20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15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10.5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45.5</v>
      </c>
    </row>
    <row r="17" spans="1:84" x14ac:dyDescent="0.2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18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11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 t="shared" si="0"/>
        <v>43.5</v>
      </c>
    </row>
    <row r="18" spans="1:84" x14ac:dyDescent="0.2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17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13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8.5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4</v>
      </c>
      <c r="CE18">
        <f>IF(BR18='Resultats Reals'!$L$2,5,0)</f>
        <v>0</v>
      </c>
      <c r="CF18" s="7">
        <f t="shared" si="0"/>
        <v>42.5</v>
      </c>
    </row>
    <row r="19" spans="1:84" x14ac:dyDescent="0.2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18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13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11.5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2</v>
      </c>
      <c r="CE19">
        <f>IF(BR19='Resultats Reals'!$L$2,5,0)</f>
        <v>0</v>
      </c>
      <c r="CF19" s="7">
        <f t="shared" si="0"/>
        <v>44.5</v>
      </c>
    </row>
    <row r="20" spans="1:84" x14ac:dyDescent="0.2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17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11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4</v>
      </c>
      <c r="CE20">
        <f>IF(BR20='Resultats Reals'!$L$2,5,0)</f>
        <v>0</v>
      </c>
      <c r="CF20" s="7">
        <f t="shared" si="0"/>
        <v>44</v>
      </c>
    </row>
    <row r="21" spans="1:84" x14ac:dyDescent="0.2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17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48</v>
      </c>
    </row>
    <row r="22" spans="1:84" x14ac:dyDescent="0.2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17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13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10.5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4</v>
      </c>
      <c r="CE22">
        <f>IF(BR22='Resultats Reals'!$L$2,5,0)</f>
        <v>0</v>
      </c>
      <c r="CF22" s="7">
        <f t="shared" si="0"/>
        <v>44.5</v>
      </c>
    </row>
    <row r="23" spans="1:84" x14ac:dyDescent="0.2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17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10.5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42.5</v>
      </c>
    </row>
    <row r="24" spans="1:84" x14ac:dyDescent="0.2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19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17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54</v>
      </c>
    </row>
    <row r="25" spans="1:84" x14ac:dyDescent="0.2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17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10.5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40.5</v>
      </c>
    </row>
    <row r="26" spans="1:84" x14ac:dyDescent="0.2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18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15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9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46</v>
      </c>
    </row>
    <row r="27" spans="1:84" x14ac:dyDescent="0.2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16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12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2</v>
      </c>
      <c r="CE27">
        <f>IF(BR27='Resultats Reals'!$L$2,5,0)</f>
        <v>0</v>
      </c>
      <c r="CF27" s="7">
        <f t="shared" si="0"/>
        <v>45</v>
      </c>
    </row>
    <row r="28" spans="1:84" x14ac:dyDescent="0.2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16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14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11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45</v>
      </c>
    </row>
    <row r="29" spans="1:84" x14ac:dyDescent="0.2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11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11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 t="shared" si="0"/>
        <v>46</v>
      </c>
    </row>
    <row r="30" spans="1:84" x14ac:dyDescent="0.2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16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13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9.5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2</v>
      </c>
      <c r="CE30">
        <f>IF(BR30='Resultats Reals'!$L$2,5,0)</f>
        <v>0</v>
      </c>
      <c r="CF30" s="7">
        <f t="shared" si="0"/>
        <v>40.5</v>
      </c>
    </row>
    <row r="31" spans="1:84" x14ac:dyDescent="0.2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18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14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12.5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48.5</v>
      </c>
    </row>
    <row r="32" spans="1:84" x14ac:dyDescent="0.2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20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16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9.5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 t="shared" si="0"/>
        <v>49.5</v>
      </c>
    </row>
    <row r="33" spans="1:84" x14ac:dyDescent="0.2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17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12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46</v>
      </c>
    </row>
    <row r="34" spans="1:84" x14ac:dyDescent="0.2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16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9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 t="shared" si="0"/>
        <v>48</v>
      </c>
    </row>
    <row r="35" spans="1:84" x14ac:dyDescent="0.2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16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14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15.5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47.5</v>
      </c>
    </row>
    <row r="36" spans="1:84" x14ac:dyDescent="0.2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16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46</v>
      </c>
    </row>
    <row r="37" spans="1:84" x14ac:dyDescent="0.2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18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42</v>
      </c>
    </row>
    <row r="38" spans="1:84" x14ac:dyDescent="0.2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17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14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12.5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4</v>
      </c>
      <c r="CE38">
        <f>IF(BR38='Resultats Reals'!$L$2,5,0)</f>
        <v>0</v>
      </c>
      <c r="CF38" s="7">
        <f t="shared" si="0"/>
        <v>47.5</v>
      </c>
    </row>
    <row r="39" spans="1:84" x14ac:dyDescent="0.2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18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12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41</v>
      </c>
    </row>
    <row r="40" spans="1:84" x14ac:dyDescent="0.2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15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13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11.5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43.5</v>
      </c>
    </row>
    <row r="41" spans="1:84" x14ac:dyDescent="0.2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8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43</v>
      </c>
    </row>
    <row r="42" spans="1:84" x14ac:dyDescent="0.2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17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11.5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 t="shared" si="0"/>
        <v>52.5</v>
      </c>
    </row>
    <row r="43" spans="1:84" x14ac:dyDescent="0.2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17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14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13.5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46.5</v>
      </c>
    </row>
    <row r="44" spans="1:84" x14ac:dyDescent="0.2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18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15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4</v>
      </c>
      <c r="CE44">
        <f>IF(BR44='Resultats Reals'!$L$2,5,0)</f>
        <v>0</v>
      </c>
      <c r="CF44" s="7">
        <f t="shared" si="0"/>
        <v>51.5</v>
      </c>
    </row>
    <row r="45" spans="1:84" x14ac:dyDescent="0.2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17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14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47</v>
      </c>
    </row>
    <row r="46" spans="1:84" x14ac:dyDescent="0.2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19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16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50</v>
      </c>
    </row>
    <row r="47" spans="1:84" x14ac:dyDescent="0.2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16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11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39</v>
      </c>
    </row>
    <row r="48" spans="1:84" x14ac:dyDescent="0.2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19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18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10.5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51.5</v>
      </c>
    </row>
    <row r="49" spans="1:84" x14ac:dyDescent="0.2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19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16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7.5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42.5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3" sqref="B3"/>
    </sheetView>
  </sheetViews>
  <sheetFormatPr defaultColWidth="10.76171875" defaultRowHeight="15" x14ac:dyDescent="0.2"/>
  <cols>
    <col min="1" max="1" width="25.2890625" bestFit="1" customWidth="1"/>
    <col min="2" max="2" width="8.33984375" bestFit="1" customWidth="1"/>
  </cols>
  <sheetData>
    <row r="1" spans="1:2" x14ac:dyDescent="0.2">
      <c r="A1" s="11" t="s">
        <v>243</v>
      </c>
      <c r="B1" t="s">
        <v>244</v>
      </c>
    </row>
    <row r="2" spans="1:2" x14ac:dyDescent="0.2">
      <c r="A2" s="12" t="s">
        <v>174</v>
      </c>
      <c r="B2" s="18">
        <v>56</v>
      </c>
    </row>
    <row r="3" spans="1:2" x14ac:dyDescent="0.2">
      <c r="A3" s="12" t="s">
        <v>135</v>
      </c>
      <c r="B3" s="18">
        <v>56</v>
      </c>
    </row>
    <row r="4" spans="1:2" x14ac:dyDescent="0.2">
      <c r="A4" s="12" t="s">
        <v>205</v>
      </c>
      <c r="B4" s="18">
        <v>54.5</v>
      </c>
    </row>
    <row r="5" spans="1:2" x14ac:dyDescent="0.2">
      <c r="A5" s="12" t="s">
        <v>150</v>
      </c>
      <c r="B5" s="18">
        <v>54</v>
      </c>
    </row>
    <row r="6" spans="1:2" x14ac:dyDescent="0.2">
      <c r="A6" s="12" t="s">
        <v>208</v>
      </c>
      <c r="B6" s="18">
        <v>53.5</v>
      </c>
    </row>
    <row r="7" spans="1:2" x14ac:dyDescent="0.2">
      <c r="A7" s="12" t="s">
        <v>214</v>
      </c>
      <c r="B7" s="18">
        <v>53.5</v>
      </c>
    </row>
    <row r="8" spans="1:2" x14ac:dyDescent="0.2">
      <c r="A8" s="12" t="s">
        <v>210</v>
      </c>
      <c r="B8" s="18">
        <v>52</v>
      </c>
    </row>
    <row r="9" spans="1:2" x14ac:dyDescent="0.2">
      <c r="A9" s="12" t="s">
        <v>124</v>
      </c>
      <c r="B9" s="18">
        <v>52</v>
      </c>
    </row>
    <row r="10" spans="1:2" x14ac:dyDescent="0.2">
      <c r="A10" s="12" t="s">
        <v>185</v>
      </c>
      <c r="B10" s="18">
        <v>51.5</v>
      </c>
    </row>
    <row r="11" spans="1:2" x14ac:dyDescent="0.2">
      <c r="A11" s="12" t="s">
        <v>138</v>
      </c>
      <c r="B11" s="18">
        <v>51</v>
      </c>
    </row>
    <row r="12" spans="1:2" x14ac:dyDescent="0.2">
      <c r="A12" s="12" t="s">
        <v>184</v>
      </c>
      <c r="B12" s="18">
        <v>50.5</v>
      </c>
    </row>
    <row r="13" spans="1:2" x14ac:dyDescent="0.2">
      <c r="A13" s="12" t="s">
        <v>169</v>
      </c>
      <c r="B13" s="18">
        <v>50</v>
      </c>
    </row>
    <row r="14" spans="1:2" x14ac:dyDescent="0.2">
      <c r="A14" s="12" t="s">
        <v>189</v>
      </c>
      <c r="B14" s="18">
        <v>50</v>
      </c>
    </row>
    <row r="15" spans="1:2" x14ac:dyDescent="0.2">
      <c r="A15" s="12" t="s">
        <v>157</v>
      </c>
      <c r="B15" s="18">
        <v>49.5</v>
      </c>
    </row>
    <row r="16" spans="1:2" x14ac:dyDescent="0.2">
      <c r="A16" s="12" t="s">
        <v>191</v>
      </c>
      <c r="B16" s="18">
        <v>49.5</v>
      </c>
    </row>
    <row r="17" spans="1:2" x14ac:dyDescent="0.2">
      <c r="A17" s="12" t="s">
        <v>196</v>
      </c>
      <c r="B17" s="18">
        <v>49.5</v>
      </c>
    </row>
    <row r="18" spans="1:2" x14ac:dyDescent="0.2">
      <c r="A18" s="12" t="s">
        <v>137</v>
      </c>
      <c r="B18" s="18">
        <v>49.5</v>
      </c>
    </row>
    <row r="19" spans="1:2" x14ac:dyDescent="0.2">
      <c r="A19" s="12" t="s">
        <v>209</v>
      </c>
      <c r="B19" s="18">
        <v>49</v>
      </c>
    </row>
    <row r="20" spans="1:2" x14ac:dyDescent="0.2">
      <c r="A20" s="12" t="s">
        <v>154</v>
      </c>
      <c r="B20" s="18">
        <v>48.5</v>
      </c>
    </row>
    <row r="21" spans="1:2" x14ac:dyDescent="0.2">
      <c r="A21" s="12" t="s">
        <v>206</v>
      </c>
      <c r="B21" s="18">
        <v>48.5</v>
      </c>
    </row>
    <row r="22" spans="1:2" x14ac:dyDescent="0.2">
      <c r="A22" s="12" t="s">
        <v>176</v>
      </c>
      <c r="B22" s="18">
        <v>48</v>
      </c>
    </row>
    <row r="23" spans="1:2" x14ac:dyDescent="0.2">
      <c r="A23" s="12" t="s">
        <v>187</v>
      </c>
      <c r="B23" s="18">
        <v>48</v>
      </c>
    </row>
    <row r="24" spans="1:2" x14ac:dyDescent="0.2">
      <c r="A24" s="12" t="s">
        <v>181</v>
      </c>
      <c r="B24" s="18">
        <v>48</v>
      </c>
    </row>
    <row r="25" spans="1:2" x14ac:dyDescent="0.2">
      <c r="A25" s="12" t="s">
        <v>152</v>
      </c>
      <c r="B25" s="18">
        <v>48</v>
      </c>
    </row>
    <row r="26" spans="1:2" x14ac:dyDescent="0.2">
      <c r="A26" s="12" t="s">
        <v>192</v>
      </c>
      <c r="B26" s="18">
        <v>48</v>
      </c>
    </row>
    <row r="27" spans="1:2" x14ac:dyDescent="0.2">
      <c r="A27" s="12" t="s">
        <v>159</v>
      </c>
      <c r="B27" s="18">
        <v>47.5</v>
      </c>
    </row>
    <row r="28" spans="1:2" x14ac:dyDescent="0.2">
      <c r="A28" s="12" t="s">
        <v>84</v>
      </c>
      <c r="B28" s="18">
        <v>47.5</v>
      </c>
    </row>
    <row r="29" spans="1:2" x14ac:dyDescent="0.2">
      <c r="A29" s="12" t="s">
        <v>147</v>
      </c>
      <c r="B29" s="18">
        <v>47.5</v>
      </c>
    </row>
    <row r="30" spans="1:2" x14ac:dyDescent="0.2">
      <c r="A30" s="12" t="s">
        <v>179</v>
      </c>
      <c r="B30" s="18">
        <v>47</v>
      </c>
    </row>
    <row r="31" spans="1:2" x14ac:dyDescent="0.2">
      <c r="A31" s="12" t="s">
        <v>178</v>
      </c>
      <c r="B31" s="18">
        <v>47</v>
      </c>
    </row>
    <row r="32" spans="1:2" x14ac:dyDescent="0.2">
      <c r="A32" s="12" t="s">
        <v>156</v>
      </c>
      <c r="B32" s="18">
        <v>46.5</v>
      </c>
    </row>
    <row r="33" spans="1:2" x14ac:dyDescent="0.2">
      <c r="A33" s="12" t="s">
        <v>166</v>
      </c>
      <c r="B33" s="18">
        <v>46.5</v>
      </c>
    </row>
    <row r="34" spans="1:2" x14ac:dyDescent="0.2">
      <c r="A34" s="12" t="s">
        <v>170</v>
      </c>
      <c r="B34" s="18">
        <v>46.5</v>
      </c>
    </row>
    <row r="35" spans="1:2" x14ac:dyDescent="0.2">
      <c r="A35" s="12" t="s">
        <v>168</v>
      </c>
      <c r="B35" s="18">
        <v>46</v>
      </c>
    </row>
    <row r="36" spans="1:2" x14ac:dyDescent="0.2">
      <c r="A36" s="12" t="s">
        <v>153</v>
      </c>
      <c r="B36" s="18">
        <v>46</v>
      </c>
    </row>
    <row r="37" spans="1:2" x14ac:dyDescent="0.2">
      <c r="A37" s="12" t="s">
        <v>160</v>
      </c>
      <c r="B37" s="18">
        <v>45.5</v>
      </c>
    </row>
    <row r="38" spans="1:2" x14ac:dyDescent="0.2">
      <c r="A38" s="12" t="s">
        <v>202</v>
      </c>
      <c r="B38" s="18">
        <v>45.5</v>
      </c>
    </row>
    <row r="39" spans="1:2" x14ac:dyDescent="0.2">
      <c r="A39" s="12" t="s">
        <v>203</v>
      </c>
      <c r="B39" s="18">
        <v>45</v>
      </c>
    </row>
    <row r="40" spans="1:2" x14ac:dyDescent="0.2">
      <c r="A40" s="12" t="s">
        <v>215</v>
      </c>
      <c r="B40" s="18">
        <v>44.5</v>
      </c>
    </row>
    <row r="41" spans="1:2" x14ac:dyDescent="0.2">
      <c r="A41" s="12" t="s">
        <v>163</v>
      </c>
      <c r="B41" s="18">
        <v>44.5</v>
      </c>
    </row>
    <row r="42" spans="1:2" x14ac:dyDescent="0.2">
      <c r="A42" s="12" t="s">
        <v>172</v>
      </c>
      <c r="B42" s="18">
        <v>44.5</v>
      </c>
    </row>
    <row r="43" spans="1:2" x14ac:dyDescent="0.2">
      <c r="A43" s="12" t="s">
        <v>193</v>
      </c>
      <c r="B43" s="18">
        <v>43</v>
      </c>
    </row>
    <row r="44" spans="1:2" x14ac:dyDescent="0.2">
      <c r="A44" s="12" t="s">
        <v>175</v>
      </c>
      <c r="B44" s="18">
        <v>42.5</v>
      </c>
    </row>
    <row r="45" spans="1:2" x14ac:dyDescent="0.2">
      <c r="A45" s="12" t="s">
        <v>182</v>
      </c>
      <c r="B45" s="18">
        <v>42.5</v>
      </c>
    </row>
    <row r="46" spans="1:2" x14ac:dyDescent="0.2">
      <c r="A46" s="12" t="s">
        <v>130</v>
      </c>
      <c r="B46" s="18">
        <v>42.5</v>
      </c>
    </row>
    <row r="47" spans="1:2" x14ac:dyDescent="0.2">
      <c r="A47" s="12" t="s">
        <v>198</v>
      </c>
      <c r="B47" s="18">
        <v>42</v>
      </c>
    </row>
    <row r="48" spans="1:2" x14ac:dyDescent="0.2">
      <c r="A48" s="12" t="s">
        <v>213</v>
      </c>
      <c r="B48" s="18">
        <v>41</v>
      </c>
    </row>
    <row r="49" spans="1:2" x14ac:dyDescent="0.2">
      <c r="A49" s="12" t="s">
        <v>140</v>
      </c>
      <c r="B49" s="18">
        <v>38.5</v>
      </c>
    </row>
    <row r="50" spans="1:2" x14ac:dyDescent="0.2">
      <c r="A50" s="12" t="s">
        <v>245</v>
      </c>
      <c r="B50" s="18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47"/>
  <sheetViews>
    <sheetView topLeftCell="A19" workbookViewId="0">
      <selection activeCell="B38" sqref="B38"/>
    </sheetView>
  </sheetViews>
  <sheetFormatPr defaultColWidth="10.76171875" defaultRowHeight="15" x14ac:dyDescent="0.2"/>
  <cols>
    <col min="1" max="1" width="19.37109375" bestFit="1" customWidth="1"/>
    <col min="2" max="3" width="18.96484375" bestFit="1" customWidth="1"/>
  </cols>
  <sheetData>
    <row r="1" spans="1:3" x14ac:dyDescent="0.2">
      <c r="A1" t="s">
        <v>90</v>
      </c>
      <c r="B1" s="15" t="s">
        <v>247</v>
      </c>
      <c r="C1" s="15" t="s">
        <v>248</v>
      </c>
    </row>
    <row r="2" spans="1:3" x14ac:dyDescent="0.2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128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131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132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2026-06-23T09:48:39Z</dcterms:modified>
</cp:coreProperties>
</file>