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604" documentId="11_77D7F8CFEFB5B4E2EEC1568F97B647076E5C66F0" xr6:coauthVersionLast="47" xr6:coauthVersionMax="47" xr10:uidLastSave="{4B4A84C3-5D7B-F241-AE46-90933E015B39}"/>
  <bookViews>
    <workbookView xWindow="28680" yWindow="-120" windowWidth="29040" windowHeight="1572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FilterDatabase" localSheetId="2" hidden="1">Porra!$A$1:$CF$49</definedName>
    <definedName name="_xlnm._FilterDatabase" localSheetId="3" hidden="1">Gràfics!$A$1:$B$49</definedName>
    <definedName name="_xlnm._FilterDatabase" localSheetId="0" hidden="1">'Resultats Reals'!$N$1:$O$14</definedName>
    <definedName name="_xlnm._FilterDatabase" localSheetId="2" hidden="1">Porra!$A$1:$CF$49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CF33" i="2"/>
  <c r="CF5" i="2"/>
  <c r="CF23" i="2"/>
  <c r="CF31" i="2"/>
  <c r="CF17" i="2"/>
  <c r="CF34" i="2"/>
  <c r="CF3" i="2"/>
  <c r="CF8" i="2"/>
  <c r="CF28" i="2"/>
  <c r="CF2" i="2"/>
  <c r="CF20" i="2"/>
  <c r="CF46" i="2"/>
  <c r="CF32" i="2"/>
  <c r="CF26" i="2"/>
  <c r="CF48" i="2"/>
  <c r="CF19" i="2"/>
  <c r="CF30" i="2"/>
  <c r="CF42" i="2"/>
  <c r="CF10" i="2"/>
  <c r="CF37" i="2"/>
  <c r="CF45" i="2"/>
  <c r="CF36" i="2"/>
  <c r="CF15" i="2"/>
  <c r="CF9" i="2"/>
  <c r="CF43" i="2"/>
  <c r="CF35" i="2"/>
  <c r="CF44" i="2"/>
  <c r="CF16" i="2"/>
  <c r="CF47" i="2"/>
  <c r="CF11" i="2"/>
  <c r="CF49" i="2"/>
  <c r="CF13" i="2"/>
  <c r="CF29" i="2"/>
  <c r="CF12" i="2"/>
  <c r="CF38" i="2"/>
  <c r="CF4" i="2"/>
  <c r="CF6" i="2"/>
  <c r="CF41" i="2"/>
  <c r="CF24" i="2"/>
  <c r="CF7" i="2"/>
  <c r="CF27" i="2"/>
  <c r="CF14" i="2"/>
  <c r="CF21" i="2"/>
  <c r="CF25" i="2"/>
  <c r="CF22" i="2"/>
  <c r="CF39" i="2"/>
  <c r="CF18" i="2"/>
  <c r="CF4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<sst xmlns="http://schemas.openxmlformats.org/spreadsheetml/2006/main" count="3833" uniqueCount="279">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</sst>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0" fontId="0" fillId="0" borderId="0" xfId="0" quotePrefix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L1" workbookViewId="0">
      <selection activeCell="O3" sqref="O3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10.76171875" bestFit="1" customWidth="1"/>
    <col min="7" max="8" width="7.93359375" bestFit="1" customWidth="1"/>
    <col min="9" max="9" width="10.3554687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216</v>
      </c>
      <c r="B1" s="1" t="s">
        <v>217</v>
      </c>
      <c r="C1" s="1" t="s">
        <v>218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223</v>
      </c>
      <c r="J1" s="1" t="s">
        <v>68</v>
      </c>
      <c r="K1" s="1" t="s">
        <v>70</v>
      </c>
      <c r="L1" s="1" t="s">
        <v>82</v>
      </c>
      <c r="N1" s="1" t="s">
        <v>224</v>
      </c>
      <c r="O1" s="1" t="s">
        <v>225</v>
      </c>
    </row>
    <row r="2" spans="1:15" x14ac:dyDescent="0.2">
      <c r="A2" s="19" t="s">
        <v>226</v>
      </c>
      <c r="B2" s="2" t="s">
        <v>227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228</v>
      </c>
      <c r="I2" s="10" t="s">
        <v>228</v>
      </c>
      <c r="J2" s="10" t="s">
        <v>228</v>
      </c>
      <c r="K2" s="10" t="s">
        <v>228</v>
      </c>
      <c r="L2" s="10" t="s">
        <v>228</v>
      </c>
      <c r="N2" t="s">
        <v>157</v>
      </c>
      <c r="O2" s="3">
        <v>7</v>
      </c>
    </row>
    <row r="3" spans="1:15" x14ac:dyDescent="0.2">
      <c r="A3" s="19" t="s">
        <v>226</v>
      </c>
      <c r="B3" s="2" t="s">
        <v>229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228</v>
      </c>
      <c r="I3" s="10" t="s">
        <v>228</v>
      </c>
      <c r="N3" t="s">
        <v>128</v>
      </c>
      <c r="O3" s="3">
        <v>7</v>
      </c>
    </row>
    <row r="4" spans="1:15" x14ac:dyDescent="0.2">
      <c r="A4" s="19" t="s">
        <v>226</v>
      </c>
      <c r="B4" s="2" t="s">
        <v>230</v>
      </c>
      <c r="C4" s="16" t="s">
        <v>98</v>
      </c>
      <c r="E4" s="14" t="str">
        <f>+C5</f>
        <v>Suïssa</v>
      </c>
      <c r="F4" s="10" t="s">
        <v>100</v>
      </c>
      <c r="G4" s="10" t="s">
        <v>228</v>
      </c>
      <c r="H4" s="10" t="s">
        <v>228</v>
      </c>
      <c r="N4" t="s">
        <v>161</v>
      </c>
      <c r="O4" s="3">
        <v>5</v>
      </c>
    </row>
    <row r="5" spans="1:15" x14ac:dyDescent="0.2">
      <c r="A5" s="19" t="s">
        <v>231</v>
      </c>
      <c r="B5" s="2" t="s">
        <v>227</v>
      </c>
      <c r="C5" s="3" t="s">
        <v>87</v>
      </c>
      <c r="E5" s="14" t="str">
        <f>+C6</f>
        <v>Canadà</v>
      </c>
      <c r="F5" s="10" t="s">
        <v>112</v>
      </c>
      <c r="G5" s="10" t="s">
        <v>228</v>
      </c>
      <c r="H5" s="10" t="s">
        <v>228</v>
      </c>
      <c r="N5" t="s">
        <v>166</v>
      </c>
      <c r="O5" s="3">
        <v>4</v>
      </c>
    </row>
    <row r="6" spans="1:15" x14ac:dyDescent="0.2">
      <c r="A6" s="19" t="s">
        <v>231</v>
      </c>
      <c r="B6" s="2" t="s">
        <v>229</v>
      </c>
      <c r="C6" s="3" t="s">
        <v>99</v>
      </c>
      <c r="E6" s="14" t="str">
        <f>+C8</f>
        <v>Brasil</v>
      </c>
      <c r="F6" s="10" t="s">
        <v>117</v>
      </c>
      <c r="G6" s="10" t="s">
        <v>228</v>
      </c>
      <c r="N6" t="s">
        <v>154</v>
      </c>
      <c r="O6" s="3">
        <v>5</v>
      </c>
    </row>
    <row r="7" spans="1:15" x14ac:dyDescent="0.2">
      <c r="A7" s="19" t="s">
        <v>231</v>
      </c>
      <c r="B7" s="2" t="s">
        <v>230</v>
      </c>
      <c r="C7" s="16" t="s">
        <v>245</v>
      </c>
      <c r="E7" s="14" t="str">
        <f>+C9</f>
        <v>Marroc</v>
      </c>
      <c r="F7" s="10" t="s">
        <v>94</v>
      </c>
      <c r="G7" s="10" t="s">
        <v>228</v>
      </c>
      <c r="N7" t="s">
        <v>122</v>
      </c>
      <c r="O7" s="3">
        <v>4</v>
      </c>
    </row>
    <row r="8" spans="1:15" x14ac:dyDescent="0.2">
      <c r="A8" s="19" t="s">
        <v>232</v>
      </c>
      <c r="B8" s="2" t="s">
        <v>227</v>
      </c>
      <c r="C8" s="3" t="s">
        <v>88</v>
      </c>
      <c r="E8" s="14" t="str">
        <f>+C11</f>
        <v>Estats Units</v>
      </c>
      <c r="F8" s="10" t="s">
        <v>86</v>
      </c>
      <c r="G8" s="10" t="s">
        <v>228</v>
      </c>
      <c r="N8" t="s">
        <v>121</v>
      </c>
      <c r="O8" s="3">
        <v>1</v>
      </c>
    </row>
    <row r="9" spans="1:15" x14ac:dyDescent="0.2">
      <c r="A9" s="19" t="s">
        <v>232</v>
      </c>
      <c r="B9" s="2" t="s">
        <v>229</v>
      </c>
      <c r="C9" s="3" t="s">
        <v>100</v>
      </c>
      <c r="E9" s="14" t="str">
        <f>+C12</f>
        <v>Austràlia</v>
      </c>
      <c r="F9" s="10" t="s">
        <v>97</v>
      </c>
      <c r="G9" s="10" t="s">
        <v>228</v>
      </c>
      <c r="N9" t="s">
        <v>194</v>
      </c>
      <c r="O9" s="3">
        <v>0</v>
      </c>
    </row>
    <row r="10" spans="1:15" x14ac:dyDescent="0.2">
      <c r="A10" s="19" t="s">
        <v>232</v>
      </c>
      <c r="B10" s="2" t="s">
        <v>230</v>
      </c>
      <c r="C10" s="16" t="s">
        <v>111</v>
      </c>
      <c r="E10" s="14" t="str">
        <f>+C14</f>
        <v>Alemanya</v>
      </c>
      <c r="F10" s="10" t="s">
        <v>89</v>
      </c>
      <c r="N10" t="s">
        <v>211</v>
      </c>
      <c r="O10" s="3">
        <v>0</v>
      </c>
    </row>
    <row r="11" spans="1:15" x14ac:dyDescent="0.2">
      <c r="A11" s="19" t="s">
        <v>233</v>
      </c>
      <c r="B11" s="2" t="s">
        <v>227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0</v>
      </c>
    </row>
    <row r="12" spans="1:15" x14ac:dyDescent="0.2">
      <c r="A12" s="19" t="s">
        <v>233</v>
      </c>
      <c r="B12" s="2" t="s">
        <v>229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">
      <c r="A13" s="19" t="s">
        <v>233</v>
      </c>
      <c r="B13" s="2" t="s">
        <v>230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">
      <c r="A14" s="19" t="s">
        <v>234</v>
      </c>
      <c r="B14" s="2" t="s">
        <v>227</v>
      </c>
      <c r="C14" s="3" t="s">
        <v>90</v>
      </c>
      <c r="E14" s="14" t="str">
        <f>+C20</f>
        <v>Bèlgica</v>
      </c>
      <c r="F14" s="10" t="s">
        <v>96</v>
      </c>
      <c r="N14" t="s">
        <v>200</v>
      </c>
      <c r="O14" s="3">
        <v>0</v>
      </c>
    </row>
    <row r="15" spans="1:15" x14ac:dyDescent="0.2">
      <c r="A15" s="19" t="s">
        <v>234</v>
      </c>
      <c r="B15" s="2" t="s">
        <v>229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">
      <c r="A16" s="19" t="s">
        <v>234</v>
      </c>
      <c r="B16" s="2" t="s">
        <v>230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">
      <c r="A17" s="19" t="s">
        <v>235</v>
      </c>
      <c r="B17" s="2" t="s">
        <v>227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">
      <c r="A18" s="19" t="s">
        <v>235</v>
      </c>
      <c r="B18" s="2" t="s">
        <v>229</v>
      </c>
      <c r="C18" s="3" t="s">
        <v>114</v>
      </c>
      <c r="E18" s="14" t="str">
        <f>+C26</f>
        <v>França</v>
      </c>
    </row>
    <row r="19" spans="1:6" x14ac:dyDescent="0.2">
      <c r="A19" s="19" t="s">
        <v>235</v>
      </c>
      <c r="B19" s="2" t="s">
        <v>230</v>
      </c>
      <c r="C19" s="16" t="s">
        <v>103</v>
      </c>
      <c r="E19" s="14" t="str">
        <f>+C27</f>
        <v>Noruega</v>
      </c>
    </row>
    <row r="20" spans="1:6" x14ac:dyDescent="0.2">
      <c r="A20" s="2" t="s">
        <v>236</v>
      </c>
      <c r="B20" s="2" t="s">
        <v>227</v>
      </c>
      <c r="C20" s="3" t="s">
        <v>92</v>
      </c>
      <c r="E20" s="14" t="str">
        <f>+C29</f>
        <v>Argentina</v>
      </c>
    </row>
    <row r="21" spans="1:6" x14ac:dyDescent="0.2">
      <c r="A21" s="2" t="s">
        <v>236</v>
      </c>
      <c r="B21" s="2" t="s">
        <v>229</v>
      </c>
      <c r="C21" s="3" t="s">
        <v>104</v>
      </c>
      <c r="E21" s="14" t="str">
        <f>+C30</f>
        <v>Àustria</v>
      </c>
    </row>
    <row r="22" spans="1:6" x14ac:dyDescent="0.2">
      <c r="A22" s="2" t="s">
        <v>236</v>
      </c>
      <c r="B22" s="2" t="s">
        <v>230</v>
      </c>
      <c r="C22" s="16" t="s">
        <v>115</v>
      </c>
      <c r="E22" s="14" t="str">
        <f>+C32</f>
        <v>Colòmbia</v>
      </c>
    </row>
    <row r="23" spans="1:6" x14ac:dyDescent="0.2">
      <c r="A23" s="2" t="s">
        <v>237</v>
      </c>
      <c r="B23" s="2" t="s">
        <v>227</v>
      </c>
      <c r="C23" s="3" t="s">
        <v>93</v>
      </c>
      <c r="E23" s="14" t="str">
        <f>+C33</f>
        <v>Portugal</v>
      </c>
    </row>
    <row r="24" spans="1:6" x14ac:dyDescent="0.2">
      <c r="A24" s="2" t="s">
        <v>237</v>
      </c>
      <c r="B24" s="2" t="s">
        <v>229</v>
      </c>
      <c r="C24" s="3" t="s">
        <v>142</v>
      </c>
      <c r="E24" s="14" t="str">
        <f>+C35</f>
        <v>Anglaterra</v>
      </c>
    </row>
    <row r="25" spans="1:6" x14ac:dyDescent="0.2">
      <c r="A25" s="2" t="s">
        <v>237</v>
      </c>
      <c r="B25" s="2" t="s">
        <v>230</v>
      </c>
      <c r="C25" s="16" t="s">
        <v>105</v>
      </c>
      <c r="E25" s="14" t="str">
        <f>+C36</f>
        <v>Croàcia</v>
      </c>
    </row>
    <row r="26" spans="1:6" x14ac:dyDescent="0.2">
      <c r="A26" s="2" t="s">
        <v>238</v>
      </c>
      <c r="B26" s="2" t="s">
        <v>227</v>
      </c>
      <c r="C26" s="3" t="s">
        <v>94</v>
      </c>
      <c r="E26" s="10" t="s">
        <v>127</v>
      </c>
      <c r="F26" s="3"/>
    </row>
    <row r="27" spans="1:6" x14ac:dyDescent="0.2">
      <c r="A27" s="2" t="s">
        <v>238</v>
      </c>
      <c r="B27" s="2" t="s">
        <v>229</v>
      </c>
      <c r="C27" s="3" t="s">
        <v>117</v>
      </c>
      <c r="E27" s="10" t="s">
        <v>103</v>
      </c>
    </row>
    <row r="28" spans="1:6" x14ac:dyDescent="0.2">
      <c r="A28" s="2" t="s">
        <v>238</v>
      </c>
      <c r="B28" s="2" t="s">
        <v>230</v>
      </c>
      <c r="C28" s="16" t="s">
        <v>106</v>
      </c>
      <c r="E28" s="10" t="s">
        <v>120</v>
      </c>
    </row>
    <row r="29" spans="1:6" x14ac:dyDescent="0.2">
      <c r="A29" s="2" t="s">
        <v>239</v>
      </c>
      <c r="B29" s="2" t="s">
        <v>227</v>
      </c>
      <c r="C29" s="3" t="s">
        <v>95</v>
      </c>
      <c r="E29" s="10" t="s">
        <v>102</v>
      </c>
    </row>
    <row r="30" spans="1:6" x14ac:dyDescent="0.2">
      <c r="A30" s="2" t="s">
        <v>239</v>
      </c>
      <c r="B30" s="2" t="s">
        <v>229</v>
      </c>
      <c r="C30" s="13" t="s">
        <v>107</v>
      </c>
      <c r="E30" s="10" t="s">
        <v>245</v>
      </c>
    </row>
    <row r="31" spans="1:6" x14ac:dyDescent="0.2">
      <c r="A31" s="2" t="s">
        <v>239</v>
      </c>
      <c r="B31" s="2" t="s">
        <v>230</v>
      </c>
      <c r="C31" s="17" t="s">
        <v>118</v>
      </c>
      <c r="E31" s="10" t="s">
        <v>112</v>
      </c>
    </row>
    <row r="32" spans="1:6" x14ac:dyDescent="0.2">
      <c r="A32" s="2" t="s">
        <v>240</v>
      </c>
      <c r="B32" s="2" t="s">
        <v>227</v>
      </c>
      <c r="C32" s="3" t="s">
        <v>108</v>
      </c>
      <c r="E32" s="10" t="s">
        <v>118</v>
      </c>
    </row>
    <row r="33" spans="1:5" x14ac:dyDescent="0.2">
      <c r="A33" s="2" t="s">
        <v>240</v>
      </c>
      <c r="B33" s="2" t="s">
        <v>229</v>
      </c>
      <c r="C33" s="3" t="s">
        <v>96</v>
      </c>
      <c r="E33" s="10" t="s">
        <v>106</v>
      </c>
    </row>
    <row r="34" spans="1:5" x14ac:dyDescent="0.2">
      <c r="A34" s="2" t="s">
        <v>240</v>
      </c>
      <c r="B34" s="2" t="s">
        <v>230</v>
      </c>
      <c r="C34" s="16" t="s">
        <v>127</v>
      </c>
    </row>
    <row r="35" spans="1:5" x14ac:dyDescent="0.2">
      <c r="A35" s="2" t="s">
        <v>241</v>
      </c>
      <c r="B35" s="2" t="s">
        <v>227</v>
      </c>
      <c r="C35" s="3" t="s">
        <v>97</v>
      </c>
    </row>
    <row r="36" spans="1:5" x14ac:dyDescent="0.2">
      <c r="A36" s="2" t="s">
        <v>241</v>
      </c>
      <c r="B36" s="2" t="s">
        <v>229</v>
      </c>
      <c r="C36" s="3" t="s">
        <v>109</v>
      </c>
    </row>
    <row r="37" spans="1:5" x14ac:dyDescent="0.2">
      <c r="A37" s="2" t="s">
        <v>241</v>
      </c>
      <c r="B37" s="2" t="s">
        <v>230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17"/>
  <sheetViews>
    <sheetView zoomScaleNormal="60" zoomScaleSheetLayoutView="100" workbookViewId="0">
      <selection activeCell="D30" sqref="D30"/>
    </sheetView>
  </sheetViews>
  <sheetFormatPr defaultColWidth="11.296875" defaultRowHeight="15" x14ac:dyDescent="0.2"/>
  <cols>
    <col min="1" max="1" width="8.875" bestFit="1" customWidth="1"/>
    <col min="2" max="2" width="26.09765625" bestFit="1" customWidth="1"/>
    <col min="5" max="5" width="23.13671875" customWidth="1"/>
    <col min="9" max="9" width="51.65625" customWidth="1"/>
  </cols>
  <sheetData>
    <row r="1" spans="1:5" x14ac:dyDescent="0.2">
      <c r="A1" s="18" t="s">
        <v>248</v>
      </c>
      <c r="B1" s="18" t="s">
        <v>249</v>
      </c>
      <c r="C1" s="18" t="s">
        <v>250</v>
      </c>
      <c r="D1" s="18" t="s">
        <v>251</v>
      </c>
      <c r="E1" s="18" t="s">
        <v>252</v>
      </c>
    </row>
    <row r="2" spans="1:5" x14ac:dyDescent="0.2">
      <c r="A2" t="s">
        <v>270</v>
      </c>
      <c r="B2" t="s">
        <v>254</v>
      </c>
      <c r="C2" s="20">
        <v>46201</v>
      </c>
      <c r="D2" s="21">
        <v>0.875</v>
      </c>
      <c r="E2" s="22" t="s">
        <v>253</v>
      </c>
    </row>
    <row r="3" spans="1:5" x14ac:dyDescent="0.2">
      <c r="A3" t="s">
        <v>270</v>
      </c>
      <c r="B3" t="s">
        <v>255</v>
      </c>
      <c r="C3" s="20">
        <v>46202</v>
      </c>
      <c r="D3" s="21">
        <v>0.79166666666666663</v>
      </c>
      <c r="E3" s="22" t="s">
        <v>271</v>
      </c>
    </row>
    <row r="4" spans="1:5" x14ac:dyDescent="0.2">
      <c r="A4" t="s">
        <v>270</v>
      </c>
      <c r="B4" t="s">
        <v>256</v>
      </c>
      <c r="C4" s="20">
        <v>46202</v>
      </c>
      <c r="D4" s="21">
        <v>0.9375</v>
      </c>
      <c r="E4" s="22" t="s">
        <v>272</v>
      </c>
    </row>
    <row r="5" spans="1:5" x14ac:dyDescent="0.2">
      <c r="A5" t="s">
        <v>270</v>
      </c>
      <c r="B5" t="s">
        <v>257</v>
      </c>
      <c r="C5" s="20">
        <v>46203</v>
      </c>
      <c r="D5" s="21">
        <v>0.125</v>
      </c>
      <c r="E5" s="22" t="s">
        <v>273</v>
      </c>
    </row>
    <row r="6" spans="1:5" x14ac:dyDescent="0.2">
      <c r="A6" t="s">
        <v>270</v>
      </c>
      <c r="B6" t="s">
        <v>258</v>
      </c>
      <c r="C6" s="20">
        <v>46203</v>
      </c>
      <c r="D6" s="21">
        <v>0.79166666666666663</v>
      </c>
      <c r="E6" s="22" t="s">
        <v>274</v>
      </c>
    </row>
    <row r="7" spans="1:5" x14ac:dyDescent="0.2">
      <c r="A7" t="s">
        <v>270</v>
      </c>
      <c r="B7" t="s">
        <v>259</v>
      </c>
      <c r="C7" s="20">
        <v>46203</v>
      </c>
      <c r="D7" s="21">
        <v>0.95833333333333337</v>
      </c>
      <c r="E7" s="22" t="s">
        <v>275</v>
      </c>
    </row>
    <row r="8" spans="1:5" x14ac:dyDescent="0.2">
      <c r="A8" t="s">
        <v>270</v>
      </c>
      <c r="B8" t="s">
        <v>260</v>
      </c>
      <c r="C8" s="20">
        <v>46204</v>
      </c>
      <c r="D8" s="21">
        <v>0.125</v>
      </c>
      <c r="E8" s="22" t="s">
        <v>164</v>
      </c>
    </row>
    <row r="9" spans="1:5" x14ac:dyDescent="0.2">
      <c r="A9" t="s">
        <v>270</v>
      </c>
      <c r="B9" t="s">
        <v>261</v>
      </c>
      <c r="C9" s="20">
        <v>46204</v>
      </c>
      <c r="D9" s="21">
        <v>0.75</v>
      </c>
      <c r="E9" s="22" t="s">
        <v>271</v>
      </c>
    </row>
    <row r="10" spans="1:5" x14ac:dyDescent="0.2">
      <c r="A10" t="s">
        <v>270</v>
      </c>
      <c r="B10" t="s">
        <v>262</v>
      </c>
      <c r="C10" s="20">
        <v>46204</v>
      </c>
      <c r="D10" s="21">
        <v>0.91666666666666663</v>
      </c>
      <c r="E10" s="22" t="s">
        <v>276</v>
      </c>
    </row>
    <row r="11" spans="1:5" x14ac:dyDescent="0.2">
      <c r="A11" t="s">
        <v>270</v>
      </c>
      <c r="B11" t="s">
        <v>263</v>
      </c>
      <c r="C11" s="20">
        <v>46205</v>
      </c>
      <c r="D11" s="21">
        <v>8.3333333333333329E-2</v>
      </c>
      <c r="E11" s="22" t="s">
        <v>164</v>
      </c>
    </row>
    <row r="12" spans="1:5" x14ac:dyDescent="0.2">
      <c r="A12" t="s">
        <v>270</v>
      </c>
      <c r="B12" t="s">
        <v>264</v>
      </c>
      <c r="C12" s="20">
        <v>46205</v>
      </c>
      <c r="D12" s="21">
        <v>0.875</v>
      </c>
      <c r="E12" s="22" t="s">
        <v>275</v>
      </c>
    </row>
    <row r="13" spans="1:5" x14ac:dyDescent="0.2">
      <c r="A13" t="s">
        <v>270</v>
      </c>
      <c r="B13" t="s">
        <v>265</v>
      </c>
      <c r="C13" s="20">
        <v>46206</v>
      </c>
      <c r="D13" s="21">
        <v>4.1666666666666664E-2</v>
      </c>
      <c r="E13" s="22" t="s">
        <v>271</v>
      </c>
    </row>
    <row r="14" spans="1:5" x14ac:dyDescent="0.2">
      <c r="A14" t="s">
        <v>270</v>
      </c>
      <c r="B14" t="s">
        <v>266</v>
      </c>
      <c r="C14" s="20">
        <v>46206</v>
      </c>
      <c r="D14" s="21">
        <v>0.20833333333333334</v>
      </c>
      <c r="E14" s="22" t="s">
        <v>164</v>
      </c>
    </row>
    <row r="15" spans="1:5" x14ac:dyDescent="0.2">
      <c r="A15" t="s">
        <v>270</v>
      </c>
      <c r="B15" t="s">
        <v>267</v>
      </c>
      <c r="C15" s="20">
        <v>46206</v>
      </c>
      <c r="D15" s="21">
        <v>0.83333333333333337</v>
      </c>
      <c r="E15" s="22" t="s">
        <v>277</v>
      </c>
    </row>
    <row r="16" spans="1:5" x14ac:dyDescent="0.2">
      <c r="A16" t="s">
        <v>270</v>
      </c>
      <c r="B16" t="s">
        <v>268</v>
      </c>
      <c r="C16" s="20">
        <v>46207</v>
      </c>
      <c r="D16" s="21">
        <v>0</v>
      </c>
      <c r="E16" s="22" t="s">
        <v>276</v>
      </c>
    </row>
    <row r="17" spans="1:5" x14ac:dyDescent="0.2">
      <c r="A17" t="s">
        <v>270</v>
      </c>
      <c r="B17" t="s">
        <v>269</v>
      </c>
      <c r="C17" s="20">
        <v>46207</v>
      </c>
      <c r="D17" s="21">
        <v>0.14583333333333334</v>
      </c>
      <c r="E17" s="22" t="s">
        <v>278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173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114</v>
      </c>
      <c r="U2" t="s">
        <v>115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110</v>
      </c>
      <c r="AB2" t="s">
        <v>245</v>
      </c>
      <c r="AC2" t="s">
        <v>111</v>
      </c>
      <c r="AD2" t="s">
        <v>112</v>
      </c>
      <c r="AE2" t="s">
        <v>113</v>
      </c>
      <c r="AF2" t="s">
        <v>103</v>
      </c>
      <c r="AG2" t="s">
        <v>104</v>
      </c>
      <c r="AH2" t="s">
        <v>142</v>
      </c>
      <c r="AI2" t="s">
        <v>106</v>
      </c>
      <c r="AJ2" t="s">
        <v>118</v>
      </c>
      <c r="AK2" t="s">
        <v>119</v>
      </c>
      <c r="AL2" t="s">
        <v>120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157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1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7</v>
      </c>
      <c r="CE2">
        <f>IF(BR2='Resultats Reals'!$L$2,5,0)</f>
        <v>0</v>
      </c>
      <c r="CF2" s="7">
        <f t="shared" ref="CF2:CF49" si="0">SUM(BU2:CE2)</f>
        <v>71.5</v>
      </c>
    </row>
    <row r="3" spans="1:84" x14ac:dyDescent="0.2">
      <c r="A3" t="s">
        <v>134</v>
      </c>
      <c r="B3" t="s">
        <v>135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110</v>
      </c>
      <c r="AB3" t="s">
        <v>125</v>
      </c>
      <c r="AC3" t="s">
        <v>111</v>
      </c>
      <c r="AD3" t="s">
        <v>126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119</v>
      </c>
      <c r="AL3" t="s">
        <v>120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114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1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7</v>
      </c>
      <c r="CE3">
        <f>IF(BR3='Resultats Reals'!$L$2,5,0)</f>
        <v>0</v>
      </c>
      <c r="CF3" s="7">
        <f t="shared" si="0"/>
        <v>69</v>
      </c>
    </row>
    <row r="4" spans="1:84" x14ac:dyDescent="0.2">
      <c r="A4" t="s">
        <v>213</v>
      </c>
      <c r="B4" t="s">
        <v>135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118</v>
      </c>
      <c r="Y4" t="s">
        <v>96</v>
      </c>
      <c r="Z4" t="s">
        <v>120</v>
      </c>
      <c r="AA4" t="s">
        <v>130</v>
      </c>
      <c r="AB4" t="s">
        <v>245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107</v>
      </c>
      <c r="AK4" t="s">
        <v>127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15.5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13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1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7</v>
      </c>
      <c r="CE4">
        <f>IF(BR4='Resultats Reals'!$L$2,5,0)</f>
        <v>0</v>
      </c>
      <c r="CF4" s="7">
        <f t="shared" si="0"/>
        <v>70.5</v>
      </c>
    </row>
    <row r="5" spans="1:84" x14ac:dyDescent="0.2">
      <c r="A5" t="s">
        <v>204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115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104</v>
      </c>
      <c r="AH5" t="s">
        <v>116</v>
      </c>
      <c r="AI5" t="s">
        <v>117</v>
      </c>
      <c r="AJ5" t="s">
        <v>118</v>
      </c>
      <c r="AK5" t="s">
        <v>127</v>
      </c>
      <c r="AL5" t="s">
        <v>120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1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7</v>
      </c>
      <c r="CE5">
        <f>IF(BR5='Resultats Reals'!$L$2,5,0)</f>
        <v>0</v>
      </c>
      <c r="CF5" s="7">
        <f t="shared" si="0"/>
        <v>68.5</v>
      </c>
    </row>
    <row r="6" spans="1:84" x14ac:dyDescent="0.2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245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1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7</v>
      </c>
      <c r="CE6">
        <f>IF(BR6='Resultats Reals'!$L$2,5,0)</f>
        <v>0</v>
      </c>
      <c r="CF6" s="7">
        <f t="shared" si="0"/>
        <v>71.5</v>
      </c>
    </row>
    <row r="7" spans="1:84" ht="15.75" customHeight="1" x14ac:dyDescent="0.2">
      <c r="A7" t="s">
        <v>137</v>
      </c>
      <c r="B7" t="s">
        <v>135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114</v>
      </c>
      <c r="U7" t="s">
        <v>104</v>
      </c>
      <c r="V7" t="s">
        <v>105</v>
      </c>
      <c r="W7" t="s">
        <v>117</v>
      </c>
      <c r="X7" t="s">
        <v>107</v>
      </c>
      <c r="Y7" t="s">
        <v>96</v>
      </c>
      <c r="Z7" t="s">
        <v>109</v>
      </c>
      <c r="AA7" t="s">
        <v>110</v>
      </c>
      <c r="AB7" t="s">
        <v>125</v>
      </c>
      <c r="AC7" t="s">
        <v>111</v>
      </c>
      <c r="AD7" t="s">
        <v>112</v>
      </c>
      <c r="AE7" t="s">
        <v>113</v>
      </c>
      <c r="AF7" t="s">
        <v>103</v>
      </c>
      <c r="AG7" t="s">
        <v>138</v>
      </c>
      <c r="AH7" t="s">
        <v>116</v>
      </c>
      <c r="AI7" t="s">
        <v>106</v>
      </c>
      <c r="AJ7" t="s">
        <v>118</v>
      </c>
      <c r="AK7" t="s">
        <v>119</v>
      </c>
      <c r="AL7" t="s">
        <v>120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114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11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2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7</v>
      </c>
      <c r="CE7">
        <f>IF(BR7='Resultats Reals'!$L$2,5,0)</f>
        <v>0</v>
      </c>
      <c r="CF7" s="7">
        <f t="shared" si="0"/>
        <v>70.5</v>
      </c>
    </row>
    <row r="8" spans="1:84" x14ac:dyDescent="0.2">
      <c r="A8" t="s">
        <v>123</v>
      </c>
      <c r="B8" t="s">
        <v>124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114</v>
      </c>
      <c r="U8" t="s">
        <v>115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125</v>
      </c>
      <c r="AC8" t="s">
        <v>111</v>
      </c>
      <c r="AD8" t="s">
        <v>126</v>
      </c>
      <c r="AE8" t="s">
        <v>113</v>
      </c>
      <c r="AF8" t="s">
        <v>103</v>
      </c>
      <c r="AG8" t="s">
        <v>104</v>
      </c>
      <c r="AH8" t="s">
        <v>116</v>
      </c>
      <c r="AI8" t="s">
        <v>106</v>
      </c>
      <c r="AJ8" t="s">
        <v>118</v>
      </c>
      <c r="AK8" t="s">
        <v>127</v>
      </c>
      <c r="AL8" t="s">
        <v>120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1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7</v>
      </c>
      <c r="CE8">
        <f>IF(BR8='Resultats Reals'!$L$2,5,0)</f>
        <v>0</v>
      </c>
      <c r="CF8" s="7">
        <f t="shared" si="0"/>
        <v>71</v>
      </c>
    </row>
    <row r="9" spans="1:84" x14ac:dyDescent="0.2">
      <c r="A9" t="s">
        <v>184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113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119</v>
      </c>
      <c r="AL9" t="s">
        <v>120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114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185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1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7</v>
      </c>
      <c r="CE9">
        <f>IF(BR9='Resultats Reals'!$L$2,5,0)</f>
        <v>0</v>
      </c>
      <c r="CF9" s="7">
        <f t="shared" si="0"/>
        <v>63.5</v>
      </c>
    </row>
    <row r="10" spans="1:84" x14ac:dyDescent="0.2">
      <c r="A10" t="s">
        <v>207</v>
      </c>
      <c r="B10" t="s">
        <v>163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113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125</v>
      </c>
      <c r="AC10" t="s">
        <v>111</v>
      </c>
      <c r="AD10" t="s">
        <v>112</v>
      </c>
      <c r="AE10" t="s">
        <v>102</v>
      </c>
      <c r="AF10" t="s">
        <v>114</v>
      </c>
      <c r="AG10" t="s">
        <v>115</v>
      </c>
      <c r="AH10" t="s">
        <v>142</v>
      </c>
      <c r="AI10" t="s">
        <v>117</v>
      </c>
      <c r="AJ10" t="s">
        <v>143</v>
      </c>
      <c r="AK10" t="s">
        <v>127</v>
      </c>
      <c r="AL10" t="s">
        <v>144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117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2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7</v>
      </c>
      <c r="CE10">
        <f>IF(BR10='Resultats Reals'!$L$2,5,0)</f>
        <v>0</v>
      </c>
      <c r="CF10" s="7">
        <f t="shared" si="0"/>
        <v>71</v>
      </c>
    </row>
    <row r="11" spans="1:84" x14ac:dyDescent="0.2">
      <c r="A11" t="s">
        <v>209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113</v>
      </c>
      <c r="T11" t="s">
        <v>114</v>
      </c>
      <c r="U11" t="s">
        <v>104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245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142</v>
      </c>
      <c r="AI11" t="s">
        <v>106</v>
      </c>
      <c r="AJ11" t="s">
        <v>118</v>
      </c>
      <c r="AK11" t="s">
        <v>127</v>
      </c>
      <c r="AL11" t="s">
        <v>120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117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210</v>
      </c>
      <c r="BS11" t="s">
        <v>121</v>
      </c>
      <c r="BT11" t="s">
        <v>211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2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72.5</v>
      </c>
    </row>
    <row r="12" spans="1:84" x14ac:dyDescent="0.2">
      <c r="A12" t="s">
        <v>188</v>
      </c>
      <c r="B12" t="s">
        <v>147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144</v>
      </c>
      <c r="AA12" t="s">
        <v>130</v>
      </c>
      <c r="AB12" t="s">
        <v>125</v>
      </c>
      <c r="AC12" t="s">
        <v>111</v>
      </c>
      <c r="AD12" t="s">
        <v>112</v>
      </c>
      <c r="AE12" t="s">
        <v>113</v>
      </c>
      <c r="AF12" t="s">
        <v>103</v>
      </c>
      <c r="AG12" t="s">
        <v>138</v>
      </c>
      <c r="AH12" t="s">
        <v>116</v>
      </c>
      <c r="AI12" t="s">
        <v>106</v>
      </c>
      <c r="AJ12" t="s">
        <v>118</v>
      </c>
      <c r="AK12" t="s">
        <v>127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117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189</v>
      </c>
      <c r="BS12" t="s">
        <v>154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11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1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7</v>
      </c>
      <c r="CE12">
        <f>IF(BR12='Resultats Reals'!$L$2,5,0)</f>
        <v>0</v>
      </c>
      <c r="CF12" s="7">
        <f t="shared" si="0"/>
        <v>69.5</v>
      </c>
    </row>
    <row r="13" spans="1:84" x14ac:dyDescent="0.2">
      <c r="A13" t="s">
        <v>156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245</v>
      </c>
      <c r="Q13" t="s">
        <v>100</v>
      </c>
      <c r="R13" t="s">
        <v>89</v>
      </c>
      <c r="S13" t="s">
        <v>102</v>
      </c>
      <c r="T13" t="s">
        <v>114</v>
      </c>
      <c r="U13" t="s">
        <v>115</v>
      </c>
      <c r="V13" t="s">
        <v>105</v>
      </c>
      <c r="W13" t="s">
        <v>117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111</v>
      </c>
      <c r="AD13" t="s">
        <v>112</v>
      </c>
      <c r="AE13" t="s">
        <v>113</v>
      </c>
      <c r="AF13" t="s">
        <v>103</v>
      </c>
      <c r="AG13" t="s">
        <v>104</v>
      </c>
      <c r="AH13" t="s">
        <v>116</v>
      </c>
      <c r="AI13" t="s">
        <v>106</v>
      </c>
      <c r="AJ13" t="s">
        <v>118</v>
      </c>
      <c r="AK13" t="s">
        <v>119</v>
      </c>
      <c r="AL13" t="s">
        <v>144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157</v>
      </c>
      <c r="BT13" t="s">
        <v>145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1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61.5</v>
      </c>
    </row>
    <row r="14" spans="1:84" x14ac:dyDescent="0.2">
      <c r="A14" t="s">
        <v>168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245</v>
      </c>
      <c r="Q14" t="s">
        <v>100</v>
      </c>
      <c r="R14" t="s">
        <v>112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111</v>
      </c>
      <c r="AD14" t="s">
        <v>89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127</v>
      </c>
      <c r="AL14" t="s">
        <v>120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112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1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7</v>
      </c>
      <c r="CE14">
        <f>IF(BR14='Resultats Reals'!$L$2,5,0)</f>
        <v>0</v>
      </c>
      <c r="CF14" s="7">
        <f t="shared" si="0"/>
        <v>70.5</v>
      </c>
    </row>
    <row r="15" spans="1:84" x14ac:dyDescent="0.2">
      <c r="A15" t="s">
        <v>183</v>
      </c>
      <c r="B15" t="s">
        <v>124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125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117</v>
      </c>
      <c r="X15" t="s">
        <v>118</v>
      </c>
      <c r="Y15" t="s">
        <v>108</v>
      </c>
      <c r="Z15" t="s">
        <v>109</v>
      </c>
      <c r="AA15" t="s">
        <v>130</v>
      </c>
      <c r="AB15" t="s">
        <v>87</v>
      </c>
      <c r="AC15" t="s">
        <v>111</v>
      </c>
      <c r="AD15" t="s">
        <v>112</v>
      </c>
      <c r="AE15" t="s">
        <v>113</v>
      </c>
      <c r="AF15" t="s">
        <v>103</v>
      </c>
      <c r="AG15" t="s">
        <v>115</v>
      </c>
      <c r="AH15" t="s">
        <v>116</v>
      </c>
      <c r="AI15" t="s">
        <v>106</v>
      </c>
      <c r="AJ15" t="s">
        <v>107</v>
      </c>
      <c r="AK15" t="s">
        <v>127</v>
      </c>
      <c r="AL15" t="s">
        <v>120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117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2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7</v>
      </c>
      <c r="CE15">
        <f>IF(BR15='Resultats Reals'!$L$2,5,0)</f>
        <v>0</v>
      </c>
      <c r="CF15" s="7">
        <f t="shared" si="0"/>
        <v>71</v>
      </c>
    </row>
    <row r="16" spans="1:84" x14ac:dyDescent="0.2">
      <c r="A16" t="s">
        <v>136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118</v>
      </c>
      <c r="Y16" t="s">
        <v>108</v>
      </c>
      <c r="Z16" t="s">
        <v>109</v>
      </c>
      <c r="AA16" t="s">
        <v>110</v>
      </c>
      <c r="AB16" t="s">
        <v>245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107</v>
      </c>
      <c r="AK16" t="s">
        <v>119</v>
      </c>
      <c r="AL16" t="s">
        <v>120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9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2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7</v>
      </c>
      <c r="CE16">
        <f>IF(BR16='Resultats Reals'!$L$2,5,0)</f>
        <v>0</v>
      </c>
      <c r="CF16" s="7">
        <f t="shared" si="0"/>
        <v>67</v>
      </c>
    </row>
    <row r="17" spans="1:84" x14ac:dyDescent="0.2">
      <c r="A17" t="s">
        <v>153</v>
      </c>
      <c r="B17" t="s">
        <v>135</v>
      </c>
      <c r="C17" t="s">
        <v>98</v>
      </c>
      <c r="D17" t="s">
        <v>99</v>
      </c>
      <c r="E17" t="s">
        <v>100</v>
      </c>
      <c r="F17" t="s">
        <v>112</v>
      </c>
      <c r="G17" t="s">
        <v>90</v>
      </c>
      <c r="H17" t="s">
        <v>114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117</v>
      </c>
      <c r="X17" t="s">
        <v>118</v>
      </c>
      <c r="Y17" t="s">
        <v>108</v>
      </c>
      <c r="Z17" t="s">
        <v>120</v>
      </c>
      <c r="AA17" t="s">
        <v>110</v>
      </c>
      <c r="AB17" t="s">
        <v>125</v>
      </c>
      <c r="AC17" t="s">
        <v>111</v>
      </c>
      <c r="AD17" t="s">
        <v>126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107</v>
      </c>
      <c r="AK17" t="s">
        <v>127</v>
      </c>
      <c r="AL17" t="s">
        <v>109</v>
      </c>
      <c r="AM17" t="s">
        <v>90</v>
      </c>
      <c r="AN17" t="s">
        <v>94</v>
      </c>
      <c r="AO17" t="s">
        <v>88</v>
      </c>
      <c r="AP17" t="s">
        <v>114</v>
      </c>
      <c r="AQ17" t="s">
        <v>120</v>
      </c>
      <c r="AR17" t="s">
        <v>93</v>
      </c>
      <c r="AS17" t="s">
        <v>112</v>
      </c>
      <c r="AT17" t="s">
        <v>104</v>
      </c>
      <c r="AU17" t="s">
        <v>100</v>
      </c>
      <c r="AV17" t="s">
        <v>117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114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154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12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2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7</v>
      </c>
      <c r="CE17">
        <f>IF(BR17='Resultats Reals'!$L$2,5,0)</f>
        <v>0</v>
      </c>
      <c r="CF17" s="7">
        <f t="shared" si="0"/>
        <v>59.5</v>
      </c>
    </row>
    <row r="18" spans="1:84" x14ac:dyDescent="0.2">
      <c r="A18" t="s">
        <v>190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113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245</v>
      </c>
      <c r="Q18" t="s">
        <v>100</v>
      </c>
      <c r="R18" t="s">
        <v>89</v>
      </c>
      <c r="S18" t="s">
        <v>90</v>
      </c>
      <c r="T18" t="s">
        <v>114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111</v>
      </c>
      <c r="AD18" t="s">
        <v>112</v>
      </c>
      <c r="AE18" t="s">
        <v>102</v>
      </c>
      <c r="AF18" t="s">
        <v>103</v>
      </c>
      <c r="AG18" t="s">
        <v>115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113</v>
      </c>
      <c r="AN18" t="s">
        <v>94</v>
      </c>
      <c r="AO18" t="s">
        <v>245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166</v>
      </c>
      <c r="BT18" t="s">
        <v>154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1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5</v>
      </c>
      <c r="CE18">
        <f>IF(BR18='Resultats Reals'!$L$2,5,0)</f>
        <v>0</v>
      </c>
      <c r="CF18" s="7">
        <f t="shared" si="0"/>
        <v>67</v>
      </c>
    </row>
    <row r="19" spans="1:84" x14ac:dyDescent="0.2">
      <c r="A19" t="s">
        <v>195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245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196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176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1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7</v>
      </c>
      <c r="CE19">
        <f>IF(BR19='Resultats Reals'!$L$2,5,0)</f>
        <v>0</v>
      </c>
      <c r="CF19" s="7">
        <f t="shared" si="0"/>
        <v>69</v>
      </c>
    </row>
    <row r="20" spans="1:84" x14ac:dyDescent="0.2">
      <c r="A20" t="s">
        <v>208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114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117</v>
      </c>
      <c r="X20" t="s">
        <v>107</v>
      </c>
      <c r="Y20" t="s">
        <v>108</v>
      </c>
      <c r="Z20" t="s">
        <v>109</v>
      </c>
      <c r="AA20" t="s">
        <v>98</v>
      </c>
      <c r="AB20" t="s">
        <v>245</v>
      </c>
      <c r="AC20" t="s">
        <v>111</v>
      </c>
      <c r="AD20" t="s">
        <v>112</v>
      </c>
      <c r="AE20" t="s">
        <v>113</v>
      </c>
      <c r="AF20" t="s">
        <v>103</v>
      </c>
      <c r="AG20" t="s">
        <v>115</v>
      </c>
      <c r="AH20" t="s">
        <v>142</v>
      </c>
      <c r="AI20" t="s">
        <v>106</v>
      </c>
      <c r="AJ20" t="s">
        <v>118</v>
      </c>
      <c r="AK20" t="s">
        <v>127</v>
      </c>
      <c r="AL20" t="s">
        <v>120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117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128</v>
      </c>
      <c r="BT20" t="s">
        <v>154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17.5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11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2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5</v>
      </c>
      <c r="CE20">
        <f>IF(BR20='Resultats Reals'!$L$2,5,0)</f>
        <v>0</v>
      </c>
      <c r="CF20" s="7">
        <f t="shared" si="0"/>
        <v>71.5</v>
      </c>
    </row>
    <row r="21" spans="1:84" x14ac:dyDescent="0.2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245</v>
      </c>
      <c r="AC21" t="s">
        <v>111</v>
      </c>
      <c r="AD21" t="s">
        <v>112</v>
      </c>
      <c r="AE21" t="s">
        <v>113</v>
      </c>
      <c r="AF21" t="s">
        <v>114</v>
      </c>
      <c r="AG21" t="s">
        <v>115</v>
      </c>
      <c r="AH21" t="s">
        <v>116</v>
      </c>
      <c r="AI21" t="s">
        <v>117</v>
      </c>
      <c r="AJ21" t="s">
        <v>118</v>
      </c>
      <c r="AK21" t="s">
        <v>119</v>
      </c>
      <c r="AL21" t="s">
        <v>120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121</v>
      </c>
      <c r="BT21" t="s">
        <v>122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11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1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65</v>
      </c>
    </row>
    <row r="22" spans="1:84" x14ac:dyDescent="0.2">
      <c r="A22" t="s">
        <v>158</v>
      </c>
      <c r="B22" t="s">
        <v>135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96</v>
      </c>
      <c r="Z22" t="s">
        <v>109</v>
      </c>
      <c r="AA22" t="s">
        <v>98</v>
      </c>
      <c r="AB22" t="s">
        <v>245</v>
      </c>
      <c r="AC22" t="s">
        <v>111</v>
      </c>
      <c r="AD22" t="s">
        <v>112</v>
      </c>
      <c r="AE22" t="s">
        <v>113</v>
      </c>
      <c r="AF22" t="s">
        <v>103</v>
      </c>
      <c r="AG22" t="s">
        <v>138</v>
      </c>
      <c r="AH22" t="s">
        <v>116</v>
      </c>
      <c r="AI22" t="s">
        <v>106</v>
      </c>
      <c r="AJ22" t="s">
        <v>118</v>
      </c>
      <c r="AK22" t="s">
        <v>127</v>
      </c>
      <c r="AL22" t="s">
        <v>144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114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150</v>
      </c>
      <c r="BT22" t="s">
        <v>145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1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67</v>
      </c>
    </row>
    <row r="23" spans="1:84" x14ac:dyDescent="0.2">
      <c r="A23" t="s">
        <v>186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245</v>
      </c>
      <c r="Q23" t="s">
        <v>100</v>
      </c>
      <c r="R23" t="s">
        <v>112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111</v>
      </c>
      <c r="AD23" t="s">
        <v>89</v>
      </c>
      <c r="AE23" t="s">
        <v>113</v>
      </c>
      <c r="AF23" t="s">
        <v>103</v>
      </c>
      <c r="AG23" t="s">
        <v>115</v>
      </c>
      <c r="AH23" t="s">
        <v>116</v>
      </c>
      <c r="AI23" t="s">
        <v>106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117</v>
      </c>
      <c r="AW23" t="s">
        <v>111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187</v>
      </c>
      <c r="BS23" t="s">
        <v>121</v>
      </c>
      <c r="BT23" t="s">
        <v>122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1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4</v>
      </c>
      <c r="CE23">
        <f>IF(BR23='Resultats Reals'!$L$2,5,0)</f>
        <v>0</v>
      </c>
      <c r="CF23" s="7">
        <f t="shared" si="0"/>
        <v>67.5</v>
      </c>
    </row>
    <row r="24" spans="1:84" x14ac:dyDescent="0.2">
      <c r="A24" t="s">
        <v>205</v>
      </c>
      <c r="B24" t="s">
        <v>135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206</v>
      </c>
      <c r="T24" t="s">
        <v>114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245</v>
      </c>
      <c r="AC24" t="s">
        <v>111</v>
      </c>
      <c r="AD24" t="s">
        <v>126</v>
      </c>
      <c r="AE24" t="s">
        <v>102</v>
      </c>
      <c r="AF24" t="s">
        <v>103</v>
      </c>
      <c r="AG24" t="s">
        <v>115</v>
      </c>
      <c r="AH24" t="s">
        <v>116</v>
      </c>
      <c r="AI24" t="s">
        <v>117</v>
      </c>
      <c r="AJ24" t="s">
        <v>118</v>
      </c>
      <c r="AK24" t="s">
        <v>127</v>
      </c>
      <c r="AL24" t="s">
        <v>120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187</v>
      </c>
      <c r="BS24" t="s">
        <v>121</v>
      </c>
      <c r="BT24" t="s">
        <v>154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2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5</v>
      </c>
      <c r="CE24">
        <f>IF(BR24='Resultats Reals'!$L$2,5,0)</f>
        <v>0</v>
      </c>
      <c r="CF24" s="7">
        <f t="shared" si="0"/>
        <v>69</v>
      </c>
    </row>
    <row r="25" spans="1:84" x14ac:dyDescent="0.2">
      <c r="A25" t="s">
        <v>146</v>
      </c>
      <c r="B25" t="s">
        <v>147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245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148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2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7</v>
      </c>
      <c r="CE25">
        <f>IF(BR25='Resultats Reals'!$L$2,5,0)</f>
        <v>0</v>
      </c>
      <c r="CF25" s="7">
        <f t="shared" si="0"/>
        <v>70</v>
      </c>
    </row>
    <row r="26" spans="1:84" x14ac:dyDescent="0.2">
      <c r="A26" t="s">
        <v>180</v>
      </c>
      <c r="B26" t="s">
        <v>124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130</v>
      </c>
      <c r="P26" t="s">
        <v>125</v>
      </c>
      <c r="Q26" t="s">
        <v>100</v>
      </c>
      <c r="R26" t="s">
        <v>112</v>
      </c>
      <c r="S26" t="s">
        <v>102</v>
      </c>
      <c r="T26" t="s">
        <v>114</v>
      </c>
      <c r="U26" t="s">
        <v>115</v>
      </c>
      <c r="V26" t="s">
        <v>105</v>
      </c>
      <c r="W26" t="s">
        <v>106</v>
      </c>
      <c r="X26" t="s">
        <v>118</v>
      </c>
      <c r="Y26" t="s">
        <v>108</v>
      </c>
      <c r="Z26" t="s">
        <v>109</v>
      </c>
      <c r="AA26" t="s">
        <v>98</v>
      </c>
      <c r="AB26" t="s">
        <v>245</v>
      </c>
      <c r="AC26" t="s">
        <v>111</v>
      </c>
      <c r="AD26" t="s">
        <v>101</v>
      </c>
      <c r="AE26" t="s">
        <v>113</v>
      </c>
      <c r="AF26" t="s">
        <v>103</v>
      </c>
      <c r="AG26" t="s">
        <v>104</v>
      </c>
      <c r="AH26" t="s">
        <v>116</v>
      </c>
      <c r="AI26" t="s">
        <v>117</v>
      </c>
      <c r="AJ26" t="s">
        <v>107</v>
      </c>
      <c r="AK26" t="s">
        <v>127</v>
      </c>
      <c r="AL26" t="s">
        <v>120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117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176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13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1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7</v>
      </c>
      <c r="CE26">
        <f>IF(BR26='Resultats Reals'!$L$2,5,0)</f>
        <v>0</v>
      </c>
      <c r="CF26" s="7">
        <f t="shared" si="0"/>
        <v>69</v>
      </c>
    </row>
    <row r="27" spans="1:84" x14ac:dyDescent="0.2">
      <c r="A27" t="s">
        <v>155</v>
      </c>
      <c r="B27" t="s">
        <v>135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125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114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121</v>
      </c>
      <c r="BT27" t="s">
        <v>121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1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60</v>
      </c>
    </row>
    <row r="28" spans="1:84" x14ac:dyDescent="0.2">
      <c r="A28" t="s">
        <v>165</v>
      </c>
      <c r="B28" t="s">
        <v>135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112</v>
      </c>
      <c r="S28" t="s">
        <v>113</v>
      </c>
      <c r="T28" t="s">
        <v>103</v>
      </c>
      <c r="U28" t="s">
        <v>138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245</v>
      </c>
      <c r="AC28" t="s">
        <v>111</v>
      </c>
      <c r="AD28" t="s">
        <v>89</v>
      </c>
      <c r="AE28" t="s">
        <v>102</v>
      </c>
      <c r="AF28" t="s">
        <v>114</v>
      </c>
      <c r="AG28" t="s">
        <v>104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166</v>
      </c>
      <c r="BT28" t="s">
        <v>166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12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1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69</v>
      </c>
    </row>
    <row r="29" spans="1:84" x14ac:dyDescent="0.2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245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11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1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7</v>
      </c>
      <c r="CE29">
        <f>IF(BR29='Resultats Reals'!$L$2,5,0)</f>
        <v>0</v>
      </c>
      <c r="CF29" s="7">
        <f t="shared" si="0"/>
        <v>65</v>
      </c>
    </row>
    <row r="30" spans="1:84" x14ac:dyDescent="0.2">
      <c r="A30" t="s">
        <v>175</v>
      </c>
      <c r="B30" t="s">
        <v>163</v>
      </c>
      <c r="C30" t="s">
        <v>86</v>
      </c>
      <c r="D30" t="s">
        <v>87</v>
      </c>
      <c r="E30" t="s">
        <v>88</v>
      </c>
      <c r="F30" t="s">
        <v>112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114</v>
      </c>
      <c r="U30" t="s">
        <v>104</v>
      </c>
      <c r="V30" t="s">
        <v>105</v>
      </c>
      <c r="W30" t="s">
        <v>117</v>
      </c>
      <c r="X30" t="s">
        <v>118</v>
      </c>
      <c r="Y30" t="s">
        <v>108</v>
      </c>
      <c r="Z30" t="s">
        <v>109</v>
      </c>
      <c r="AA30" t="s">
        <v>130</v>
      </c>
      <c r="AB30" t="s">
        <v>125</v>
      </c>
      <c r="AC30" t="s">
        <v>111</v>
      </c>
      <c r="AD30" t="s">
        <v>101</v>
      </c>
      <c r="AE30" t="s">
        <v>113</v>
      </c>
      <c r="AF30" t="s">
        <v>103</v>
      </c>
      <c r="AG30" t="s">
        <v>115</v>
      </c>
      <c r="AH30" t="s">
        <v>116</v>
      </c>
      <c r="AI30" t="s">
        <v>106</v>
      </c>
      <c r="AJ30" t="s">
        <v>107</v>
      </c>
      <c r="AK30" t="s">
        <v>127</v>
      </c>
      <c r="AL30" t="s">
        <v>144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112</v>
      </c>
      <c r="AT30" t="s">
        <v>92</v>
      </c>
      <c r="AU30" t="s">
        <v>88</v>
      </c>
      <c r="AV30" t="s">
        <v>117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176</v>
      </c>
      <c r="BS30" t="s">
        <v>128</v>
      </c>
      <c r="BT30" t="s">
        <v>128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2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7</v>
      </c>
      <c r="CE30">
        <f>IF(BR30='Resultats Reals'!$L$2,5,0)</f>
        <v>0</v>
      </c>
      <c r="CF30" s="7">
        <f t="shared" si="0"/>
        <v>70</v>
      </c>
    </row>
    <row r="31" spans="1:84" x14ac:dyDescent="0.2">
      <c r="A31" t="s">
        <v>177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245</v>
      </c>
      <c r="Q31" t="s">
        <v>100</v>
      </c>
      <c r="R31" t="s">
        <v>112</v>
      </c>
      <c r="S31" t="s">
        <v>90</v>
      </c>
      <c r="T31" t="s">
        <v>114</v>
      </c>
      <c r="U31" t="s">
        <v>104</v>
      </c>
      <c r="V31" t="s">
        <v>105</v>
      </c>
      <c r="W31" t="s">
        <v>117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111</v>
      </c>
      <c r="AD31" t="s">
        <v>89</v>
      </c>
      <c r="AE31" t="s">
        <v>113</v>
      </c>
      <c r="AF31" t="s">
        <v>103</v>
      </c>
      <c r="AG31" t="s">
        <v>115</v>
      </c>
      <c r="AH31" t="s">
        <v>116</v>
      </c>
      <c r="AI31" t="s">
        <v>106</v>
      </c>
      <c r="AJ31" t="s">
        <v>118</v>
      </c>
      <c r="AK31" t="s">
        <v>127</v>
      </c>
      <c r="AL31" t="s">
        <v>120</v>
      </c>
      <c r="AM31" t="s">
        <v>102</v>
      </c>
      <c r="AN31" t="s">
        <v>94</v>
      </c>
      <c r="AO31" t="s">
        <v>245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117</v>
      </c>
      <c r="AW31" t="s">
        <v>86</v>
      </c>
      <c r="AX31" t="s">
        <v>97</v>
      </c>
      <c r="AY31" t="s">
        <v>95</v>
      </c>
      <c r="AZ31" t="s">
        <v>112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117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121</v>
      </c>
      <c r="BT31" t="s">
        <v>122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1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66.5</v>
      </c>
    </row>
    <row r="32" spans="1:84" x14ac:dyDescent="0.2">
      <c r="A32" t="s">
        <v>178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179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2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7</v>
      </c>
      <c r="CE32">
        <f>IF(BR32='Resultats Reals'!$L$2,5,0)</f>
        <v>0</v>
      </c>
      <c r="CF32" s="7">
        <f t="shared" si="0"/>
        <v>64.5</v>
      </c>
    </row>
    <row r="33" spans="1:84" x14ac:dyDescent="0.2">
      <c r="A33" t="s">
        <v>191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113</v>
      </c>
      <c r="T33" t="s">
        <v>114</v>
      </c>
      <c r="U33" t="s">
        <v>104</v>
      </c>
      <c r="V33" t="s">
        <v>105</v>
      </c>
      <c r="W33" t="s">
        <v>106</v>
      </c>
      <c r="X33" t="s">
        <v>118</v>
      </c>
      <c r="Y33" t="s">
        <v>108</v>
      </c>
      <c r="Z33" t="s">
        <v>109</v>
      </c>
      <c r="AA33" t="s">
        <v>110</v>
      </c>
      <c r="AB33" t="s">
        <v>245</v>
      </c>
      <c r="AC33" t="s">
        <v>111</v>
      </c>
      <c r="AD33" t="s">
        <v>112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107</v>
      </c>
      <c r="AK33" t="s">
        <v>127</v>
      </c>
      <c r="AL33" t="s">
        <v>120</v>
      </c>
      <c r="AM33" t="s">
        <v>99</v>
      </c>
      <c r="AN33" t="s">
        <v>100</v>
      </c>
      <c r="AO33" t="s">
        <v>90</v>
      </c>
      <c r="AP33" t="s">
        <v>88</v>
      </c>
      <c r="AQ33" t="s">
        <v>113</v>
      </c>
      <c r="AR33" t="s">
        <v>94</v>
      </c>
      <c r="AS33" t="s">
        <v>117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2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5</v>
      </c>
      <c r="CE33">
        <f>IF(BR33='Resultats Reals'!$L$2,5,0)</f>
        <v>0</v>
      </c>
      <c r="CF33" s="7">
        <f t="shared" si="0"/>
        <v>70</v>
      </c>
    </row>
    <row r="34" spans="1:84" x14ac:dyDescent="0.2">
      <c r="A34" t="s">
        <v>201</v>
      </c>
      <c r="B34" t="s">
        <v>135</v>
      </c>
      <c r="C34" t="s">
        <v>86</v>
      </c>
      <c r="D34" t="s">
        <v>87</v>
      </c>
      <c r="E34" t="s">
        <v>100</v>
      </c>
      <c r="F34" t="s">
        <v>112</v>
      </c>
      <c r="G34" t="s">
        <v>90</v>
      </c>
      <c r="H34" t="s">
        <v>114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245</v>
      </c>
      <c r="AC34" t="s">
        <v>111</v>
      </c>
      <c r="AD34" t="s">
        <v>89</v>
      </c>
      <c r="AE34" t="s">
        <v>113</v>
      </c>
      <c r="AF34" t="s">
        <v>91</v>
      </c>
      <c r="AG34" t="s">
        <v>115</v>
      </c>
      <c r="AH34" t="s">
        <v>116</v>
      </c>
      <c r="AI34" t="s">
        <v>117</v>
      </c>
      <c r="AJ34" t="s">
        <v>118</v>
      </c>
      <c r="AK34" t="s">
        <v>127</v>
      </c>
      <c r="AL34" t="s">
        <v>120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176</v>
      </c>
      <c r="BS34" t="s">
        <v>121</v>
      </c>
      <c r="BT34" t="s">
        <v>128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13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11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2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66</v>
      </c>
    </row>
    <row r="35" spans="1:84" x14ac:dyDescent="0.2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245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2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7</v>
      </c>
      <c r="CE35">
        <f>IF(BR35='Resultats Reals'!$L$2,5,0)</f>
        <v>0</v>
      </c>
      <c r="CF35" s="7">
        <f t="shared" si="0"/>
        <v>66.5</v>
      </c>
    </row>
    <row r="36" spans="1:84" x14ac:dyDescent="0.2">
      <c r="A36" t="s">
        <v>152</v>
      </c>
      <c r="B36" t="s">
        <v>147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245</v>
      </c>
      <c r="Q36" t="s">
        <v>100</v>
      </c>
      <c r="R36" t="s">
        <v>112</v>
      </c>
      <c r="S36" t="s">
        <v>102</v>
      </c>
      <c r="T36" t="s">
        <v>103</v>
      </c>
      <c r="U36" t="s">
        <v>104</v>
      </c>
      <c r="V36" t="s">
        <v>105</v>
      </c>
      <c r="W36" t="s">
        <v>117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111</v>
      </c>
      <c r="AD36" t="s">
        <v>89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102</v>
      </c>
      <c r="AN36" t="s">
        <v>93</v>
      </c>
      <c r="AO36" t="s">
        <v>114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114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145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9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1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7</v>
      </c>
      <c r="CE36">
        <f>IF(BR36='Resultats Reals'!$L$2,5,0)</f>
        <v>0</v>
      </c>
      <c r="CF36" s="7">
        <f t="shared" si="0"/>
        <v>63</v>
      </c>
    </row>
    <row r="37" spans="1:84" x14ac:dyDescent="0.2">
      <c r="A37" t="s">
        <v>167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114</v>
      </c>
      <c r="U37" t="s">
        <v>104</v>
      </c>
      <c r="V37" t="s">
        <v>105</v>
      </c>
      <c r="W37" t="s">
        <v>106</v>
      </c>
      <c r="X37" t="s">
        <v>118</v>
      </c>
      <c r="Y37" t="s">
        <v>108</v>
      </c>
      <c r="Z37" t="s">
        <v>109</v>
      </c>
      <c r="AA37" t="s">
        <v>98</v>
      </c>
      <c r="AB37" t="s">
        <v>245</v>
      </c>
      <c r="AC37" t="s">
        <v>111</v>
      </c>
      <c r="AD37" t="s">
        <v>126</v>
      </c>
      <c r="AE37" t="s">
        <v>113</v>
      </c>
      <c r="AF37" t="s">
        <v>103</v>
      </c>
      <c r="AG37" t="s">
        <v>115</v>
      </c>
      <c r="AH37" t="s">
        <v>116</v>
      </c>
      <c r="AI37" t="s">
        <v>117</v>
      </c>
      <c r="AJ37" t="s">
        <v>107</v>
      </c>
      <c r="AK37" t="s">
        <v>119</v>
      </c>
      <c r="AL37" t="s">
        <v>120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121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2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7</v>
      </c>
      <c r="CE37">
        <f>IF(BR37='Resultats Reals'!$L$2,5,0)</f>
        <v>0</v>
      </c>
      <c r="CF37" s="7">
        <f t="shared" si="0"/>
        <v>66.5</v>
      </c>
    </row>
    <row r="38" spans="1:84" x14ac:dyDescent="0.2">
      <c r="A38" t="s">
        <v>202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245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203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14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1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64</v>
      </c>
    </row>
    <row r="39" spans="1:84" x14ac:dyDescent="0.2">
      <c r="A39" t="s">
        <v>171</v>
      </c>
      <c r="B39" t="s">
        <v>172</v>
      </c>
      <c r="C39" t="s">
        <v>98</v>
      </c>
      <c r="D39" t="s">
        <v>87</v>
      </c>
      <c r="E39" t="s">
        <v>88</v>
      </c>
      <c r="F39" t="s">
        <v>112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245</v>
      </c>
      <c r="Q39" t="s">
        <v>100</v>
      </c>
      <c r="R39" t="s">
        <v>101</v>
      </c>
      <c r="S39" t="s">
        <v>102</v>
      </c>
      <c r="T39" t="s">
        <v>114</v>
      </c>
      <c r="U39" t="s">
        <v>92</v>
      </c>
      <c r="V39" t="s">
        <v>105</v>
      </c>
      <c r="W39" t="s">
        <v>117</v>
      </c>
      <c r="X39" t="s">
        <v>118</v>
      </c>
      <c r="Y39" t="s">
        <v>96</v>
      </c>
      <c r="Z39" t="s">
        <v>97</v>
      </c>
      <c r="AA39" t="s">
        <v>130</v>
      </c>
      <c r="AB39" t="s">
        <v>99</v>
      </c>
      <c r="AC39" t="s">
        <v>170</v>
      </c>
      <c r="AD39" t="s">
        <v>89</v>
      </c>
      <c r="AE39" t="s">
        <v>113</v>
      </c>
      <c r="AF39" t="s">
        <v>103</v>
      </c>
      <c r="AG39" t="s">
        <v>138</v>
      </c>
      <c r="AH39" t="s">
        <v>142</v>
      </c>
      <c r="AI39" t="s">
        <v>106</v>
      </c>
      <c r="AJ39" t="s">
        <v>107</v>
      </c>
      <c r="AK39" t="s">
        <v>127</v>
      </c>
      <c r="AL39" t="s">
        <v>120</v>
      </c>
      <c r="AM39" t="s">
        <v>98</v>
      </c>
      <c r="AN39" t="s">
        <v>105</v>
      </c>
      <c r="AO39" t="s">
        <v>88</v>
      </c>
      <c r="AP39" t="s">
        <v>112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117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117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161</v>
      </c>
      <c r="BT39" t="s">
        <v>154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11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1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5</v>
      </c>
      <c r="CE39">
        <f>IF(BR39='Resultats Reals'!$L$2,5,0)</f>
        <v>0</v>
      </c>
      <c r="CF39" s="7">
        <f t="shared" si="0"/>
        <v>63</v>
      </c>
    </row>
    <row r="40" spans="1:84" x14ac:dyDescent="0.2">
      <c r="A40" t="s">
        <v>214</v>
      </c>
      <c r="B40" t="s">
        <v>85</v>
      </c>
      <c r="C40" t="s">
        <v>86</v>
      </c>
      <c r="D40" t="s">
        <v>99</v>
      </c>
      <c r="E40" t="s">
        <v>88</v>
      </c>
      <c r="F40" t="s">
        <v>112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130</v>
      </c>
      <c r="AB40" t="s">
        <v>125</v>
      </c>
      <c r="AC40" t="s">
        <v>111</v>
      </c>
      <c r="AD40" t="s">
        <v>101</v>
      </c>
      <c r="AE40" t="s">
        <v>113</v>
      </c>
      <c r="AF40" t="s">
        <v>131</v>
      </c>
      <c r="AG40" t="s">
        <v>115</v>
      </c>
      <c r="AH40" t="s">
        <v>116</v>
      </c>
      <c r="AI40" t="s">
        <v>117</v>
      </c>
      <c r="AJ40" t="s">
        <v>118</v>
      </c>
      <c r="AK40" t="s">
        <v>127</v>
      </c>
      <c r="AL40" t="s">
        <v>120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114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215</v>
      </c>
      <c r="BS40" t="s">
        <v>128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1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58</v>
      </c>
    </row>
    <row r="41" spans="1:84" x14ac:dyDescent="0.2">
      <c r="A41" t="s">
        <v>159</v>
      </c>
      <c r="B41" t="s">
        <v>140</v>
      </c>
      <c r="C41" t="s">
        <v>86</v>
      </c>
      <c r="D41" t="s">
        <v>99</v>
      </c>
      <c r="E41" t="s">
        <v>88</v>
      </c>
      <c r="F41" t="s">
        <v>112</v>
      </c>
      <c r="G41" t="s">
        <v>90</v>
      </c>
      <c r="H41" t="s">
        <v>91</v>
      </c>
      <c r="I41" t="s">
        <v>138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130</v>
      </c>
      <c r="P41" t="s">
        <v>87</v>
      </c>
      <c r="Q41" t="s">
        <v>111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144</v>
      </c>
      <c r="AA41" t="s">
        <v>110</v>
      </c>
      <c r="AB41" t="s">
        <v>125</v>
      </c>
      <c r="AC41" t="s">
        <v>100</v>
      </c>
      <c r="AD41" t="s">
        <v>126</v>
      </c>
      <c r="AE41" t="s">
        <v>113</v>
      </c>
      <c r="AF41" t="s">
        <v>114</v>
      </c>
      <c r="AG41" t="s">
        <v>104</v>
      </c>
      <c r="AH41" t="s">
        <v>116</v>
      </c>
      <c r="AI41" t="s">
        <v>106</v>
      </c>
      <c r="AJ41" t="s">
        <v>107</v>
      </c>
      <c r="AK41" t="s">
        <v>127</v>
      </c>
      <c r="AL41" t="s">
        <v>120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117</v>
      </c>
      <c r="AU41" t="s">
        <v>105</v>
      </c>
      <c r="AV41" t="s">
        <v>120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144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117</v>
      </c>
      <c r="BK41" t="s">
        <v>88</v>
      </c>
      <c r="BL41" t="s">
        <v>93</v>
      </c>
      <c r="BM41" t="s">
        <v>94</v>
      </c>
      <c r="BN41" t="s">
        <v>117</v>
      </c>
      <c r="BO41" t="s">
        <v>88</v>
      </c>
      <c r="BP41" t="s">
        <v>93</v>
      </c>
      <c r="BQ41" t="s">
        <v>88</v>
      </c>
      <c r="BS41" t="s">
        <v>160</v>
      </c>
      <c r="BT41" t="s">
        <v>161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9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1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5</v>
      </c>
      <c r="CE41">
        <f>IF(BR41='Resultats Reals'!$L$2,5,0)</f>
        <v>0</v>
      </c>
      <c r="CF41" s="7">
        <f t="shared" si="0"/>
        <v>56</v>
      </c>
    </row>
    <row r="42" spans="1:84" x14ac:dyDescent="0.2">
      <c r="A42" t="s">
        <v>162</v>
      </c>
      <c r="B42" t="s">
        <v>163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114</v>
      </c>
      <c r="U42" t="s">
        <v>104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130</v>
      </c>
      <c r="AB42" t="s">
        <v>245</v>
      </c>
      <c r="AC42" t="s">
        <v>111</v>
      </c>
      <c r="AD42" t="s">
        <v>126</v>
      </c>
      <c r="AE42" t="s">
        <v>113</v>
      </c>
      <c r="AF42" t="s">
        <v>103</v>
      </c>
      <c r="AG42" t="s">
        <v>115</v>
      </c>
      <c r="AH42" t="s">
        <v>116</v>
      </c>
      <c r="AI42" t="s">
        <v>117</v>
      </c>
      <c r="AJ42" t="s">
        <v>143</v>
      </c>
      <c r="AK42" t="s">
        <v>119</v>
      </c>
      <c r="AL42" t="s">
        <v>144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113</v>
      </c>
      <c r="AY42" t="s">
        <v>102</v>
      </c>
      <c r="AZ42" t="s">
        <v>114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164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9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1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7</v>
      </c>
      <c r="CE42">
        <f>IF(BR42='Resultats Reals'!$L$2,5,0)</f>
        <v>0</v>
      </c>
      <c r="CF42" s="7">
        <f t="shared" si="0"/>
        <v>62</v>
      </c>
    </row>
    <row r="43" spans="1:84" x14ac:dyDescent="0.2">
      <c r="A43" t="s">
        <v>129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126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119</v>
      </c>
      <c r="AL43" t="s">
        <v>120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132</v>
      </c>
      <c r="BT43" t="s">
        <v>133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1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59</v>
      </c>
    </row>
    <row r="44" spans="1:84" x14ac:dyDescent="0.2">
      <c r="A44" t="s">
        <v>174</v>
      </c>
      <c r="B44" t="s">
        <v>172</v>
      </c>
      <c r="C44" t="s">
        <v>98</v>
      </c>
      <c r="D44" t="s">
        <v>87</v>
      </c>
      <c r="E44" t="s">
        <v>88</v>
      </c>
      <c r="F44" t="s">
        <v>112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245</v>
      </c>
      <c r="Q44" t="s">
        <v>100</v>
      </c>
      <c r="R44" t="s">
        <v>101</v>
      </c>
      <c r="S44" t="s">
        <v>102</v>
      </c>
      <c r="T44" t="s">
        <v>114</v>
      </c>
      <c r="U44" t="s">
        <v>92</v>
      </c>
      <c r="V44" t="s">
        <v>105</v>
      </c>
      <c r="W44" t="s">
        <v>117</v>
      </c>
      <c r="X44" t="s">
        <v>118</v>
      </c>
      <c r="Y44" t="s">
        <v>96</v>
      </c>
      <c r="Z44" t="s">
        <v>97</v>
      </c>
      <c r="AA44" t="s">
        <v>130</v>
      </c>
      <c r="AB44" t="s">
        <v>99</v>
      </c>
      <c r="AC44" t="s">
        <v>170</v>
      </c>
      <c r="AD44" t="s">
        <v>89</v>
      </c>
      <c r="AE44" t="s">
        <v>113</v>
      </c>
      <c r="AF44" t="s">
        <v>103</v>
      </c>
      <c r="AG44" t="s">
        <v>138</v>
      </c>
      <c r="AH44" t="s">
        <v>142</v>
      </c>
      <c r="AI44" t="s">
        <v>106</v>
      </c>
      <c r="AJ44" t="s">
        <v>107</v>
      </c>
      <c r="AK44" t="s">
        <v>127</v>
      </c>
      <c r="AL44" t="s">
        <v>120</v>
      </c>
      <c r="AM44" t="s">
        <v>98</v>
      </c>
      <c r="AN44" t="s">
        <v>105</v>
      </c>
      <c r="AO44" t="s">
        <v>88</v>
      </c>
      <c r="AP44" t="s">
        <v>112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117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117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128</v>
      </c>
      <c r="BT44" t="s">
        <v>132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11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1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58</v>
      </c>
    </row>
    <row r="45" spans="1:84" x14ac:dyDescent="0.2">
      <c r="A45" t="s">
        <v>181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245</v>
      </c>
      <c r="AC45" t="s">
        <v>111</v>
      </c>
      <c r="AD45" t="s">
        <v>126</v>
      </c>
      <c r="AE45" t="s">
        <v>113</v>
      </c>
      <c r="AF45" t="s">
        <v>114</v>
      </c>
      <c r="AG45" t="s">
        <v>115</v>
      </c>
      <c r="AH45" t="s">
        <v>116</v>
      </c>
      <c r="AI45" t="s">
        <v>117</v>
      </c>
      <c r="AJ45" t="s">
        <v>118</v>
      </c>
      <c r="AK45" t="s">
        <v>119</v>
      </c>
      <c r="AL45" t="s">
        <v>120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150</v>
      </c>
      <c r="BT45" t="s">
        <v>122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1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4</v>
      </c>
      <c r="CE45">
        <f>IF(BR45='Resultats Reals'!$L$2,5,0)</f>
        <v>0</v>
      </c>
      <c r="CF45" s="7">
        <f t="shared" si="0"/>
        <v>62.5</v>
      </c>
    </row>
    <row r="46" spans="1:84" x14ac:dyDescent="0.2">
      <c r="A46" t="s">
        <v>192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245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193</v>
      </c>
      <c r="BT46" t="s">
        <v>194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12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60.5</v>
      </c>
    </row>
    <row r="47" spans="1:84" x14ac:dyDescent="0.2">
      <c r="A47" t="s">
        <v>197</v>
      </c>
      <c r="B47" t="s">
        <v>135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117</v>
      </c>
      <c r="L47" t="s">
        <v>95</v>
      </c>
      <c r="M47" t="s">
        <v>108</v>
      </c>
      <c r="N47" t="s">
        <v>97</v>
      </c>
      <c r="O47" t="s">
        <v>86</v>
      </c>
      <c r="P47" t="s">
        <v>245</v>
      </c>
      <c r="Q47" t="s">
        <v>100</v>
      </c>
      <c r="R47" t="s">
        <v>112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111</v>
      </c>
      <c r="AD47" t="s">
        <v>198</v>
      </c>
      <c r="AE47" t="s">
        <v>113</v>
      </c>
      <c r="AF47" t="s">
        <v>114</v>
      </c>
      <c r="AG47" t="s">
        <v>115</v>
      </c>
      <c r="AH47" t="s">
        <v>116</v>
      </c>
      <c r="AI47" t="s">
        <v>106</v>
      </c>
      <c r="AJ47" t="s">
        <v>118</v>
      </c>
      <c r="AK47" t="s">
        <v>127</v>
      </c>
      <c r="AL47" t="s">
        <v>120</v>
      </c>
      <c r="AM47" t="s">
        <v>90</v>
      </c>
      <c r="AN47" t="s">
        <v>117</v>
      </c>
      <c r="AO47" t="s">
        <v>245</v>
      </c>
      <c r="AP47" t="s">
        <v>100</v>
      </c>
      <c r="AQ47" t="s">
        <v>96</v>
      </c>
      <c r="AR47" t="s">
        <v>93</v>
      </c>
      <c r="AS47" t="s">
        <v>111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114</v>
      </c>
      <c r="BB47" t="s">
        <v>108</v>
      </c>
      <c r="BC47" t="s">
        <v>117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117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199</v>
      </c>
      <c r="BS47" t="s">
        <v>150</v>
      </c>
      <c r="BT47" t="s">
        <v>200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11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2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57</v>
      </c>
    </row>
    <row r="48" spans="1:84" x14ac:dyDescent="0.2">
      <c r="A48" t="s">
        <v>212</v>
      </c>
      <c r="B48" t="s">
        <v>135</v>
      </c>
      <c r="C48" t="s">
        <v>130</v>
      </c>
      <c r="D48" t="s">
        <v>245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52.5</v>
      </c>
    </row>
    <row r="49" spans="1:84" x14ac:dyDescent="0.2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245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1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50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242</v>
      </c>
      <c r="B1" t="s">
        <v>243</v>
      </c>
    </row>
    <row r="2" spans="1:2" x14ac:dyDescent="0.2">
      <c r="A2" s="12" t="s">
        <v>209</v>
      </c>
      <c r="B2" s="23">
        <v>64.5</v>
      </c>
    </row>
    <row r="3" spans="1:2" x14ac:dyDescent="0.2">
      <c r="A3" s="12" t="s">
        <v>123</v>
      </c>
      <c r="B3" s="23">
        <v>64</v>
      </c>
    </row>
    <row r="4" spans="1:2" x14ac:dyDescent="0.2">
      <c r="A4" s="12" t="s">
        <v>208</v>
      </c>
      <c r="B4" s="23">
        <v>63.5</v>
      </c>
    </row>
    <row r="5" spans="1:2" x14ac:dyDescent="0.2">
      <c r="A5" s="12" t="s">
        <v>137</v>
      </c>
      <c r="B5" s="23">
        <v>63.5</v>
      </c>
    </row>
    <row r="6" spans="1:2" x14ac:dyDescent="0.2">
      <c r="A6" s="12" t="s">
        <v>188</v>
      </c>
      <c r="B6" s="23">
        <v>63.5</v>
      </c>
    </row>
    <row r="7" spans="1:2" x14ac:dyDescent="0.2">
      <c r="A7" s="12" t="s">
        <v>149</v>
      </c>
      <c r="B7" s="23">
        <v>63.5</v>
      </c>
    </row>
    <row r="8" spans="1:2" x14ac:dyDescent="0.2">
      <c r="A8" s="12" t="s">
        <v>183</v>
      </c>
      <c r="B8" s="23">
        <v>63</v>
      </c>
    </row>
    <row r="9" spans="1:2" x14ac:dyDescent="0.2">
      <c r="A9" s="12" t="s">
        <v>173</v>
      </c>
      <c r="B9" s="23">
        <v>62.5</v>
      </c>
    </row>
    <row r="10" spans="1:2" x14ac:dyDescent="0.2">
      <c r="A10" s="12" t="s">
        <v>204</v>
      </c>
      <c r="B10" s="23">
        <v>62.5</v>
      </c>
    </row>
    <row r="11" spans="1:2" x14ac:dyDescent="0.2">
      <c r="A11" s="12" t="s">
        <v>168</v>
      </c>
      <c r="B11" s="23">
        <v>62.5</v>
      </c>
    </row>
    <row r="12" spans="1:2" x14ac:dyDescent="0.2">
      <c r="A12" s="12" t="s">
        <v>175</v>
      </c>
      <c r="B12" s="23">
        <v>62</v>
      </c>
    </row>
    <row r="13" spans="1:2" x14ac:dyDescent="0.2">
      <c r="A13" s="12" t="s">
        <v>207</v>
      </c>
      <c r="B13" s="23">
        <v>62</v>
      </c>
    </row>
    <row r="14" spans="1:2" x14ac:dyDescent="0.2">
      <c r="A14" s="12" t="s">
        <v>134</v>
      </c>
      <c r="B14" s="23">
        <v>62</v>
      </c>
    </row>
    <row r="15" spans="1:2" x14ac:dyDescent="0.2">
      <c r="A15" s="12" t="s">
        <v>213</v>
      </c>
      <c r="B15" s="23">
        <v>61.5</v>
      </c>
    </row>
    <row r="16" spans="1:2" x14ac:dyDescent="0.2">
      <c r="A16" s="12" t="s">
        <v>180</v>
      </c>
      <c r="B16" s="23">
        <v>61</v>
      </c>
    </row>
    <row r="17" spans="1:2" x14ac:dyDescent="0.2">
      <c r="A17" s="12" t="s">
        <v>165</v>
      </c>
      <c r="B17" s="23">
        <v>61</v>
      </c>
    </row>
    <row r="18" spans="1:2" x14ac:dyDescent="0.2">
      <c r="A18" s="12" t="s">
        <v>191</v>
      </c>
      <c r="B18" s="23">
        <v>61</v>
      </c>
    </row>
    <row r="19" spans="1:2" x14ac:dyDescent="0.2">
      <c r="A19" s="12" t="s">
        <v>205</v>
      </c>
      <c r="B19" s="23">
        <v>61</v>
      </c>
    </row>
    <row r="20" spans="1:2" x14ac:dyDescent="0.2">
      <c r="A20" s="12" t="s">
        <v>158</v>
      </c>
      <c r="B20" s="23">
        <v>60</v>
      </c>
    </row>
    <row r="21" spans="1:2" x14ac:dyDescent="0.2">
      <c r="A21" s="12" t="s">
        <v>195</v>
      </c>
      <c r="B21" s="23">
        <v>60</v>
      </c>
    </row>
    <row r="22" spans="1:2" x14ac:dyDescent="0.2">
      <c r="A22" s="12" t="s">
        <v>190</v>
      </c>
      <c r="B22" s="23">
        <v>60</v>
      </c>
    </row>
    <row r="23" spans="1:2" x14ac:dyDescent="0.2">
      <c r="A23" s="12" t="s">
        <v>146</v>
      </c>
      <c r="B23" s="23">
        <v>59</v>
      </c>
    </row>
    <row r="24" spans="1:2" x14ac:dyDescent="0.2">
      <c r="A24" s="12" t="s">
        <v>184</v>
      </c>
      <c r="B24" s="23">
        <v>58.5</v>
      </c>
    </row>
    <row r="25" spans="1:2" x14ac:dyDescent="0.2">
      <c r="A25" s="12" t="s">
        <v>136</v>
      </c>
      <c r="B25" s="23">
        <v>58</v>
      </c>
    </row>
    <row r="26" spans="1:2" x14ac:dyDescent="0.2">
      <c r="A26" s="12" t="s">
        <v>177</v>
      </c>
      <c r="B26" s="23">
        <v>57.5</v>
      </c>
    </row>
    <row r="27" spans="1:2" x14ac:dyDescent="0.2">
      <c r="A27" s="12" t="s">
        <v>186</v>
      </c>
      <c r="B27" s="23">
        <v>57.5</v>
      </c>
    </row>
    <row r="28" spans="1:2" x14ac:dyDescent="0.2">
      <c r="A28" s="12" t="s">
        <v>151</v>
      </c>
      <c r="B28" s="23">
        <v>57.5</v>
      </c>
    </row>
    <row r="29" spans="1:2" x14ac:dyDescent="0.2">
      <c r="A29" s="12" t="s">
        <v>178</v>
      </c>
      <c r="B29" s="23">
        <v>57.5</v>
      </c>
    </row>
    <row r="30" spans="1:2" x14ac:dyDescent="0.2">
      <c r="A30" s="12" t="s">
        <v>167</v>
      </c>
      <c r="B30" s="23">
        <v>57.5</v>
      </c>
    </row>
    <row r="31" spans="1:2" x14ac:dyDescent="0.2">
      <c r="A31" s="12" t="s">
        <v>202</v>
      </c>
      <c r="B31" s="23">
        <v>57</v>
      </c>
    </row>
    <row r="32" spans="1:2" x14ac:dyDescent="0.2">
      <c r="A32" s="12" t="s">
        <v>169</v>
      </c>
      <c r="B32" s="23">
        <v>57</v>
      </c>
    </row>
    <row r="33" spans="1:2" x14ac:dyDescent="0.2">
      <c r="A33" s="12" t="s">
        <v>201</v>
      </c>
      <c r="B33" s="23">
        <v>56</v>
      </c>
    </row>
    <row r="34" spans="1:2" x14ac:dyDescent="0.2">
      <c r="A34" s="12" t="s">
        <v>84</v>
      </c>
      <c r="B34" s="23">
        <v>56</v>
      </c>
    </row>
    <row r="35" spans="1:2" x14ac:dyDescent="0.2">
      <c r="A35" s="12" t="s">
        <v>171</v>
      </c>
      <c r="B35" s="23">
        <v>56</v>
      </c>
    </row>
    <row r="36" spans="1:2" x14ac:dyDescent="0.2">
      <c r="A36" s="12" t="s">
        <v>152</v>
      </c>
      <c r="B36" s="23">
        <v>56</v>
      </c>
    </row>
    <row r="37" spans="1:2" x14ac:dyDescent="0.2">
      <c r="A37" s="12" t="s">
        <v>155</v>
      </c>
      <c r="B37" s="23">
        <v>55</v>
      </c>
    </row>
    <row r="38" spans="1:2" x14ac:dyDescent="0.2">
      <c r="A38" s="12" t="s">
        <v>156</v>
      </c>
      <c r="B38" s="23">
        <v>54.5</v>
      </c>
    </row>
    <row r="39" spans="1:2" x14ac:dyDescent="0.2">
      <c r="A39" s="12" t="s">
        <v>162</v>
      </c>
      <c r="B39" s="23">
        <v>54</v>
      </c>
    </row>
    <row r="40" spans="1:2" x14ac:dyDescent="0.2">
      <c r="A40" s="12" t="s">
        <v>129</v>
      </c>
      <c r="B40" s="23">
        <v>54</v>
      </c>
    </row>
    <row r="41" spans="1:2" x14ac:dyDescent="0.2">
      <c r="A41" s="12" t="s">
        <v>192</v>
      </c>
      <c r="B41" s="23">
        <v>53.5</v>
      </c>
    </row>
    <row r="42" spans="1:2" x14ac:dyDescent="0.2">
      <c r="A42" s="12" t="s">
        <v>214</v>
      </c>
      <c r="B42" s="23">
        <v>53</v>
      </c>
    </row>
    <row r="43" spans="1:2" x14ac:dyDescent="0.2">
      <c r="A43" s="12" t="s">
        <v>181</v>
      </c>
      <c r="B43" s="23">
        <v>52.5</v>
      </c>
    </row>
    <row r="44" spans="1:2" x14ac:dyDescent="0.2">
      <c r="A44" s="12" t="s">
        <v>153</v>
      </c>
      <c r="B44" s="23">
        <v>52.5</v>
      </c>
    </row>
    <row r="45" spans="1:2" x14ac:dyDescent="0.2">
      <c r="A45" s="12" t="s">
        <v>174</v>
      </c>
      <c r="B45" s="23">
        <v>51</v>
      </c>
    </row>
    <row r="46" spans="1:2" x14ac:dyDescent="0.2">
      <c r="A46" s="12" t="s">
        <v>159</v>
      </c>
      <c r="B46" s="23">
        <v>51</v>
      </c>
    </row>
    <row r="47" spans="1:2" x14ac:dyDescent="0.2">
      <c r="A47" s="12" t="s">
        <v>212</v>
      </c>
      <c r="B47" s="23">
        <v>49.5</v>
      </c>
    </row>
    <row r="48" spans="1:2" x14ac:dyDescent="0.2">
      <c r="A48" s="12" t="s">
        <v>197</v>
      </c>
      <c r="B48" s="23">
        <v>49</v>
      </c>
    </row>
    <row r="49" spans="1:2" x14ac:dyDescent="0.2">
      <c r="A49" s="12" t="s">
        <v>139</v>
      </c>
      <c r="B49" s="23">
        <v>42</v>
      </c>
    </row>
    <row r="50" spans="1:2" x14ac:dyDescent="0.2">
      <c r="A50" s="12" t="s">
        <v>244</v>
      </c>
      <c r="B50" s="23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31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5" t="s">
        <v>246</v>
      </c>
      <c r="C1" s="15" t="s">
        <v>247</v>
      </c>
    </row>
    <row r="2" spans="1:3" x14ac:dyDescent="0.2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245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127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130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131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119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2026-07-01T05:08:03Z</dcterms:modified>
</cp:coreProperties>
</file>