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28" documentId="13_ncr:1_{C2D31FD4-C9ED-4BA7-BCD4-E33D8656D6F9}" xr6:coauthVersionLast="47" xr6:coauthVersionMax="47" xr10:uidLastSave="{31ABCF45-F4D2-964E-BF53-6CD18288EE02}"/>
  <bookViews>
    <workbookView xWindow="-105" yWindow="0" windowWidth="14610" windowHeight="15585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BU43" i="2"/>
  <c r="BV43" i="2"/>
  <c r="CF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BU29" i="2"/>
  <c r="BV29" i="2"/>
  <c r="CF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12" i="2"/>
  <c r="CF40" i="2"/>
  <c r="CF15" i="2"/>
  <c r="CF37" i="2"/>
  <c r="CF9" i="2"/>
  <c r="CF30" i="2"/>
  <c r="CF2" i="2"/>
  <c r="CF23" i="2"/>
  <c r="CF5" i="2"/>
  <c r="CF19" i="2"/>
  <c r="CF26" i="2"/>
  <c r="CF33" i="2"/>
  <c r="CF47" i="2"/>
  <c r="CF16" i="2"/>
  <c r="CF8" i="2"/>
  <c r="CF22" i="2"/>
  <c r="CF36" i="2"/>
  <c r="CF4" i="2"/>
  <c r="CF11" i="2"/>
  <c r="CF18" i="2"/>
  <c r="CF25" i="2"/>
  <c r="CF32" i="2"/>
  <c r="CF39" i="2"/>
  <c r="CF46" i="2"/>
  <c r="CF7" i="2"/>
  <c r="CF14" i="2"/>
  <c r="CF21" i="2"/>
  <c r="CF28" i="2"/>
  <c r="CF35" i="2"/>
  <c r="CF42" i="2"/>
  <c r="CF3" i="2"/>
  <c r="CF10" i="2"/>
  <c r="CF17" i="2"/>
  <c r="CF24" i="2"/>
  <c r="CF31" i="2"/>
  <c r="CF38" i="2"/>
  <c r="CF45" i="2"/>
  <c r="CF6" i="2"/>
  <c r="CF13" i="2"/>
  <c r="CF20" i="2"/>
  <c r="CF27" i="2"/>
  <c r="CF34" i="2"/>
  <c r="CF41" i="2"/>
  <c r="CF48" i="2"/>
  <c r="CF49" i="2"/>
  <c r="CF44" i="2"/>
</calcChain>
</file>

<file path=xl/sharedStrings.xml><?xml version="1.0" encoding="utf-8"?>
<sst xmlns="http://schemas.openxmlformats.org/spreadsheetml/2006/main" count="3723" uniqueCount="246">
  <si>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</si>
  <si>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</si>
  <si>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</si>
  <si>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</si>
  <si>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</si>
  <si>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</si>
  <si>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</si>
  <si>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</si>
  <si>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</si>
  <si>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</si>
  <si>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</si>
  <si>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</si>
  <si>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</si>
  <si>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</si>
  <si>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</si>
  <si>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</si>
  <si>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</si>
  <si>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</si>
  <si>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</si>
  <si>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</si>
  <si>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</si>
  <si>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</si>
  <si>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</si>
  <si>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</si>
  <si>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</si>
  <si>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</si>
  <si>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</si>
  <si>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</si>
  <si>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</si>
  <si>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</si>
  <si>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</si>
  <si>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</si>
  <si>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</si>
  <si>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</si>
  <si>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</si>
  <si>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</si>
  <si>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</si>
  <si>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</si>
  <si>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</si>
  <si>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</si>
  <si>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</si>
  <si>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</si>
  <si>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</si>
  <si>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</si>
  <si>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</si>
  <si>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</si>
  <si>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</si>
  <si>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</si>
  <si>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</si>
  <si>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</si>
  <si>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</si>
  <si>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</si>
  <si>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</si>
  <si>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</si>
  <si>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</si>
  <si>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</si>
  <si>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</si>
  <si>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</si>
  <si>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</si>
  <si>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</si>
  <si>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</si>
  <si>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</si>
  <si>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</si>
  <si>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</si>
  <si>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</si>
  <si>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</si>
  <si>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</si>
  <si>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</si>
  <si>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</si>
  <si>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</si>
  <si>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</si>
  <si>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</si>
  <si>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</si>
  <si>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</si>
  <si>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</si>
  <si>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</si>
  <si>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</si>
  <si>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</si>
  <si>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</si>
  <si>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</si>
  <si>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</si>
  <si>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</si>
  <si>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</si>
  <si>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</si>
  <si>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</si>
  <si>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</si>
  <si>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</si>
  <si>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</si>
  <si>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</si>
  <si>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</si>
  <si>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</si>
  <si>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</si>
  <si>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</si>
  <si>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</si>
  <si>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</si>
  <si>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</si>
  <si>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</si>
  <si>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</si>
  <si>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</si>
  <si>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</si>
  <si>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</si>
  <si>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</si>
  <si>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</si>
  <si>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</si>
  <si>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</si>
  <si>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</si>
  <si>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</si>
  <si>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</si>
  <si>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</si>
  <si>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</si>
  <si>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</si>
  <si>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</si>
  <si>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</si>
  <si>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</si>
  <si>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</si>
  <si>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</si>
  <si>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</si>
  <si>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</si>
  <si>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</si>
  <si>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</si>
  <si>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</si>
  <si>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</si>
  <si>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</si>
  <si>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</si>
  <si>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</si>
  <si>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</si>
  <si>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</si>
  <si>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</si>
  <si>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</si>
  <si>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</si>
  <si>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</si>
  <si>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</si>
  <si>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</si>
  <si>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</si>
  <si>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</si>
  <si>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</si>
  <si>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</si>
  <si>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</si>
  <si>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</si>
  <si>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</si>
  <si>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</si>
  <si>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</si>
  <si>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</si>
  <si>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</si>
  <si>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</si>
  <si>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</si>
  <si>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</si>
  <si>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</si>
  <si>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</si>
  <si>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</si>
  <si>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</si>
  <si>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</si>
  <si>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</si>
  <si>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</si>
  <si>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</si>
  <si>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</si>
  <si>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</si>
  <si>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</si>
  <si>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</si>
  <si>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</si>
  <si>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</si>
  <si>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</si>
  <si>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</si>
  <si>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</si>
  <si>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</si>
  <si>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</si>
  <si>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</si>
  <si>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</si>
  <si>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</si>
  <si>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</si>
  <si>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</si>
  <si>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</si>
  <si>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Agustin Mo</t>
  </si>
  <si>
    <t>Natalia Kotova</t>
  </si>
  <si>
    <t>Raphinha</t>
  </si>
  <si>
    <t>2-0</t>
  </si>
  <si>
    <t>Vinicius Agnelli Panzetti</t>
  </si>
  <si>
    <t>Cristina Corominas</t>
  </si>
  <si>
    <t>Elena Marcos</t>
  </si>
  <si>
    <t>Enrique Cuevas</t>
  </si>
  <si>
    <t>Haití</t>
  </si>
  <si>
    <t>Rhandy Sosa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</si>
  <si>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</si>
  <si>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</si>
  <si>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</si>
  <si>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</si>
  <si>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</si>
  <si>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</si>
  <si>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</si>
  <si>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</si>
  <si>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</si>
  <si>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</si>
  <si>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</si>
  <si>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</si>
  <si>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</si>
  <si>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</si>
  <si>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</si>
  <si>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</si>
  <si>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</si>
  <si>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</si>
  <si>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</si>
  <si>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</si>
  <si>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</si>
  <si>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</si>
  <si>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</si>
  <si>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</si>
  <si>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</si>
  <si>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</si>
  <si>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</si>
  <si>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</si>
  <si>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</si>
  <si>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</si>
  <si>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</si>
  <si>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</si>
  <si>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</si>
  <si>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</si>
  <si>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</si>
  <si>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</si>
  <si>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</si>
  <si>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</si>
  <si>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</si>
  <si>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</si>
  <si>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</si>
  <si>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</si>
  <si>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</si>
  <si>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</si>
  <si>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</si>
  <si>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</si>
  <si>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</si>
  <si>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</si>
  <si>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</si>
  <si>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</si>
  <si>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</si>
  <si>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</si>
  <si>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</si>
  <si>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</si>
  <si>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</si>
  <si>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</si>
  <si>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</si>
  <si>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</si>
  <si>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</si>
  <si>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</si>
  <si>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</si>
  <si>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</si>
  <si>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</si>
  <si>
    <t xml:space="preserve">Panamà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</si>
</sst>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pivotCacheDefinition" Target="pivotCache/pivotCacheDefinition1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0.336151736112" createdVersion="8" refreshedVersion="8" minRefreshableVersion="3" recordCount="48" xr:uid="{3CD797A8-EB82-466F-9D77-1F12615D14DC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7" maxValue="16"/>
    </cacheField>
    <cacheField name="Punts Grups 3r" numFmtId="0">
      <sharedItems containsSemiMixedTypes="0" containsString="0" containsNumber="1" minValue="3.5" maxValue="10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0.5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0"/>
    <n v="8.5"/>
    <n v="0"/>
    <n v="0"/>
    <n v="0"/>
    <n v="0"/>
    <n v="0"/>
    <n v="0"/>
    <n v="0"/>
    <n v="0"/>
    <n v="34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3"/>
    <n v="9"/>
    <n v="0"/>
    <n v="0"/>
    <n v="0"/>
    <n v="0"/>
    <n v="0"/>
    <n v="0"/>
    <n v="2"/>
    <n v="0"/>
    <n v="40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1"/>
    <n v="8.5"/>
    <n v="0"/>
    <n v="0"/>
    <n v="0"/>
    <n v="0"/>
    <n v="0"/>
    <n v="0"/>
    <n v="0"/>
    <n v="0"/>
    <n v="35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6"/>
    <n v="8"/>
    <n v="0"/>
    <n v="0"/>
    <n v="0"/>
    <n v="0"/>
    <n v="0"/>
    <n v="0"/>
    <n v="2"/>
    <n v="0"/>
    <n v="40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2"/>
    <n v="8"/>
    <n v="0"/>
    <n v="0"/>
    <n v="0"/>
    <n v="0"/>
    <n v="0"/>
    <n v="0"/>
    <n v="2"/>
    <n v="0"/>
    <n v="37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7"/>
    <n v="3.5"/>
    <n v="0"/>
    <n v="0"/>
    <n v="0"/>
    <n v="0"/>
    <n v="0"/>
    <n v="0"/>
    <n v="0"/>
    <n v="0"/>
    <n v="20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1"/>
    <n v="10"/>
    <n v="0"/>
    <n v="0"/>
    <n v="0"/>
    <n v="0"/>
    <n v="0"/>
    <n v="0"/>
    <n v="2"/>
    <n v="0"/>
    <n v="36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2"/>
    <n v="9"/>
    <n v="0"/>
    <n v="0"/>
    <n v="0"/>
    <n v="0"/>
    <n v="0"/>
    <n v="0"/>
    <n v="2"/>
    <n v="0"/>
    <n v="36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4"/>
    <n v="6.5"/>
    <n v="0"/>
    <n v="0"/>
    <n v="0"/>
    <n v="0"/>
    <n v="0"/>
    <n v="0"/>
    <n v="2"/>
    <n v="0"/>
    <n v="36.5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7"/>
    <n v="10.5"/>
    <n v="0"/>
    <n v="0"/>
    <n v="0"/>
    <n v="0"/>
    <n v="0"/>
    <n v="0"/>
    <n v="2"/>
    <n v="0"/>
    <n v="31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8"/>
    <n v="9.5"/>
    <n v="0"/>
    <n v="0"/>
    <n v="0"/>
    <n v="0"/>
    <n v="0"/>
    <n v="0"/>
    <n v="2"/>
    <n v="0"/>
    <n v="33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9"/>
    <n v="10.5"/>
    <n v="0"/>
    <n v="0"/>
    <n v="0"/>
    <n v="0"/>
    <n v="0"/>
    <n v="0"/>
    <n v="0"/>
    <n v="0"/>
    <n v="35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5"/>
    <n v="7"/>
    <n v="0"/>
    <n v="0"/>
    <n v="0"/>
    <n v="0"/>
    <n v="0"/>
    <n v="0"/>
    <n v="0"/>
    <n v="0"/>
    <n v="34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2"/>
    <n v="8"/>
    <n v="0"/>
    <n v="0"/>
    <n v="0"/>
    <n v="0"/>
    <n v="0"/>
    <n v="0"/>
    <n v="0"/>
    <n v="0"/>
    <n v="34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8"/>
    <n v="8"/>
    <n v="0"/>
    <n v="0"/>
    <n v="0"/>
    <n v="0"/>
    <n v="0"/>
    <n v="0"/>
    <n v="2"/>
    <n v="0"/>
    <n v="33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4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2"/>
    <n v="9"/>
    <n v="0"/>
    <n v="0"/>
    <n v="0"/>
    <n v="0"/>
    <n v="0"/>
    <n v="0"/>
    <n v="0"/>
    <n v="0"/>
    <n v="33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2"/>
    <n v="9.5"/>
    <n v="0"/>
    <n v="0"/>
    <n v="0"/>
    <n v="0"/>
    <n v="0"/>
    <n v="0"/>
    <n v="2"/>
    <n v="0"/>
    <n v="37.5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9"/>
    <n v="10.5"/>
    <n v="0"/>
    <n v="0"/>
    <n v="0"/>
    <n v="0"/>
    <n v="0"/>
    <n v="0"/>
    <n v="2"/>
    <n v="0"/>
    <n v="35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11"/>
    <n v="7"/>
    <n v="0"/>
    <n v="0"/>
    <n v="0"/>
    <n v="0"/>
    <n v="0"/>
    <n v="0"/>
    <n v="2"/>
    <n v="0"/>
    <n v="30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11"/>
    <n v="7"/>
    <n v="0"/>
    <n v="0"/>
    <n v="0"/>
    <n v="0"/>
    <n v="0"/>
    <n v="0"/>
    <n v="0"/>
    <n v="0"/>
    <n v="28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5"/>
    <n v="5.5"/>
    <n v="0"/>
    <n v="0"/>
    <n v="0"/>
    <n v="0"/>
    <n v="0"/>
    <n v="0"/>
    <n v="2"/>
    <n v="0"/>
    <n v="38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11"/>
    <n v="7"/>
    <n v="0"/>
    <n v="0"/>
    <n v="0"/>
    <n v="0"/>
    <n v="0"/>
    <n v="0"/>
    <n v="0"/>
    <n v="0"/>
    <n v="28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6"/>
    <n v="7.5"/>
    <n v="0"/>
    <n v="0"/>
    <n v="0"/>
    <n v="0"/>
    <n v="0"/>
    <n v="0"/>
    <n v="2"/>
    <n v="0"/>
    <n v="39.5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10"/>
    <n v="10.5"/>
    <n v="0"/>
    <n v="0"/>
    <n v="0"/>
    <n v="0"/>
    <n v="0"/>
    <n v="0"/>
    <n v="0"/>
    <n v="0"/>
    <n v="32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8"/>
    <n v="9"/>
    <n v="0"/>
    <n v="0"/>
    <n v="0"/>
    <n v="0"/>
    <n v="0"/>
    <n v="0"/>
    <n v="2"/>
    <n v="0"/>
    <n v="36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1"/>
    <n v="8.5"/>
    <n v="0"/>
    <n v="0"/>
    <n v="0"/>
    <n v="0"/>
    <n v="0"/>
    <n v="0"/>
    <n v="2"/>
    <n v="0"/>
    <n v="36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9"/>
    <n v="10"/>
    <n v="0"/>
    <n v="0"/>
    <n v="0"/>
    <n v="0"/>
    <n v="0"/>
    <n v="0"/>
    <n v="0"/>
    <n v="0"/>
    <n v="33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4"/>
    <n v="8"/>
    <n v="0"/>
    <n v="0"/>
    <n v="0"/>
    <n v="0"/>
    <n v="0"/>
    <n v="0"/>
    <n v="2"/>
    <n v="0"/>
    <n v="37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2"/>
    <n v="8.5"/>
    <n v="0"/>
    <n v="0"/>
    <n v="0"/>
    <n v="0"/>
    <n v="0"/>
    <n v="0"/>
    <n v="2"/>
    <n v="0"/>
    <n v="37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9"/>
    <n v="10.5"/>
    <n v="0"/>
    <n v="0"/>
    <n v="0"/>
    <n v="0"/>
    <n v="0"/>
    <n v="0"/>
    <n v="0"/>
    <n v="0"/>
    <n v="33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11"/>
    <n v="8.5"/>
    <n v="0"/>
    <n v="0"/>
    <n v="0"/>
    <n v="0"/>
    <n v="0"/>
    <n v="0"/>
    <n v="2"/>
    <n v="0"/>
    <n v="37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1"/>
    <n v="9.5"/>
    <n v="0"/>
    <n v="0"/>
    <n v="0"/>
    <n v="0"/>
    <n v="0"/>
    <n v="0"/>
    <n v="0"/>
    <n v="0"/>
    <n v="33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4"/>
    <n v="8"/>
    <n v="0"/>
    <n v="0"/>
    <n v="0"/>
    <n v="0"/>
    <n v="0"/>
    <n v="0"/>
    <n v="0"/>
    <n v="0"/>
    <n v="37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3"/>
    <n v="12"/>
    <n v="9"/>
    <n v="0"/>
    <n v="0"/>
    <n v="0"/>
    <n v="0"/>
    <n v="0"/>
    <n v="0"/>
    <n v="0"/>
    <n v="0"/>
    <n v="34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5"/>
    <n v="7.5"/>
    <n v="0"/>
    <n v="0"/>
    <n v="0"/>
    <n v="0"/>
    <n v="0"/>
    <n v="0"/>
    <n v="2"/>
    <n v="0"/>
    <n v="38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2"/>
    <n v="8"/>
    <n v="9"/>
    <n v="0"/>
    <n v="0"/>
    <n v="0"/>
    <n v="0"/>
    <n v="0"/>
    <n v="0"/>
    <n v="0"/>
    <n v="0"/>
    <n v="29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8"/>
    <n v="9.5"/>
    <n v="0"/>
    <n v="0"/>
    <n v="0"/>
    <n v="0"/>
    <n v="0"/>
    <n v="0"/>
    <n v="2"/>
    <n v="0"/>
    <n v="32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11"/>
    <n v="8"/>
    <n v="0"/>
    <n v="0"/>
    <n v="0"/>
    <n v="0"/>
    <n v="0"/>
    <n v="0"/>
    <n v="0"/>
    <n v="0"/>
    <n v="3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2"/>
    <n v="9.5"/>
    <n v="0"/>
    <n v="0"/>
    <n v="0"/>
    <n v="0"/>
    <n v="0"/>
    <n v="0"/>
    <n v="0"/>
    <n v="0"/>
    <n v="35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4"/>
    <n v="6.5"/>
    <n v="0"/>
    <n v="0"/>
    <n v="0"/>
    <n v="0"/>
    <n v="0"/>
    <n v="0"/>
    <n v="2"/>
    <n v="0"/>
    <n v="3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10"/>
    <n v="7.5"/>
    <n v="0"/>
    <n v="0"/>
    <n v="0"/>
    <n v="0"/>
    <n v="0"/>
    <n v="0"/>
    <n v="0"/>
    <n v="0"/>
    <n v="32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3"/>
    <n v="7"/>
    <n v="0"/>
    <n v="0"/>
    <n v="0"/>
    <n v="0"/>
    <n v="0"/>
    <n v="0"/>
    <n v="0"/>
    <n v="0"/>
    <n v="36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2"/>
    <n v="8.5"/>
    <n v="0"/>
    <n v="0"/>
    <n v="0"/>
    <n v="0"/>
    <n v="0"/>
    <n v="0"/>
    <n v="0"/>
    <n v="0"/>
    <n v="32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4"/>
    <n v="6.5"/>
    <n v="0"/>
    <n v="0"/>
    <n v="0"/>
    <n v="0"/>
    <n v="0"/>
    <n v="0"/>
    <n v="0"/>
    <n v="0"/>
    <n v="31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1"/>
    <n v="8.5"/>
    <n v="0"/>
    <n v="0"/>
    <n v="0"/>
    <n v="0"/>
    <n v="0"/>
    <n v="0"/>
    <n v="0"/>
    <n v="0"/>
    <n v="32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45"/>
    </i>
    <i>
      <x v="26"/>
    </i>
    <i>
      <x v="7"/>
    </i>
    <i>
      <x v="12"/>
    </i>
    <i>
      <x v="41"/>
    </i>
    <i>
      <x v="35"/>
    </i>
    <i>
      <x v="9"/>
    </i>
    <i>
      <x v="50"/>
    </i>
    <i>
      <x v="16"/>
    </i>
    <i>
      <x v="30"/>
    </i>
    <i>
      <x v="53"/>
    </i>
    <i>
      <x v="27"/>
    </i>
    <i>
      <x v="39"/>
    </i>
    <i>
      <x v="33"/>
    </i>
    <i>
      <x v="40"/>
    </i>
    <i>
      <x v="10"/>
    </i>
    <i>
      <x v="6"/>
    </i>
    <i>
      <x v="8"/>
    </i>
    <i>
      <x v="34"/>
    </i>
    <i>
      <x v="48"/>
    </i>
    <i>
      <x v="31"/>
    </i>
    <i>
      <x v="14"/>
    </i>
    <i>
      <x v="25"/>
    </i>
    <i>
      <x v="42"/>
    </i>
    <i>
      <x v="11"/>
    </i>
    <i>
      <x v="24"/>
    </i>
    <i>
      <x v="2"/>
    </i>
    <i>
      <x v="19"/>
    </i>
    <i>
      <x v="49"/>
    </i>
    <i>
      <x v="1"/>
    </i>
    <i>
      <x/>
    </i>
    <i>
      <x v="38"/>
    </i>
    <i>
      <x v="37"/>
    </i>
    <i>
      <x v="46"/>
    </i>
    <i>
      <x v="32"/>
    </i>
    <i>
      <x v="21"/>
    </i>
    <i>
      <x v="18"/>
    </i>
    <i>
      <x v="22"/>
    </i>
    <i>
      <x v="13"/>
    </i>
    <i>
      <x v="28"/>
    </i>
    <i>
      <x v="5"/>
    </i>
    <i>
      <x v="20"/>
    </i>
    <i>
      <x v="15"/>
    </i>
    <i>
      <x v="17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topLeftCell="A21" workbookViewId="0">
      <selection activeCell="C34" sqref="C34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5" width="16.0078125" customWidth="1"/>
    <col min="6" max="6" width="14.9296875" customWidth="1"/>
    <col min="7" max="7" width="13.98828125" customWidth="1"/>
    <col min="8" max="8" width="18.96484375" customWidth="1"/>
    <col min="9" max="9" width="14.9296875" customWidth="1"/>
    <col min="10" max="10" width="11.97265625" customWidth="1"/>
    <col min="11" max="11" width="14.796875" bestFit="1" customWidth="1"/>
    <col min="12" max="12" width="9.953125" customWidth="1"/>
    <col min="13" max="13" width="18.96484375" customWidth="1"/>
    <col min="14" max="14" width="9.953125" customWidth="1"/>
  </cols>
  <sheetData>
    <row r="1" spans="1:14" x14ac:dyDescent="0.2">
      <c r="A1" s="1" t="s">
        <v>0</v>
      </c>
      <c r="B1" s="1" t="s">
        <v>1</v>
      </c>
      <c r="C1" s="1" t="s">
        <v>225</v>
      </c>
      <c r="E1" s="1" t="s">
        <v>226</v>
      </c>
      <c r="F1" s="1" t="s">
        <v>227</v>
      </c>
      <c r="G1" s="1" t="s">
        <v>228</v>
      </c>
      <c r="H1" s="1" t="s">
        <v>229</v>
      </c>
      <c r="I1" s="1" t="s">
        <v>100</v>
      </c>
      <c r="J1" s="1" t="s">
        <v>102</v>
      </c>
      <c r="K1" s="1" t="s">
        <v>220</v>
      </c>
      <c r="M1" s="1" t="s">
        <v>2</v>
      </c>
      <c r="N1" s="1" t="s">
        <v>3</v>
      </c>
    </row>
    <row r="2" spans="1:14" x14ac:dyDescent="0.2">
      <c r="A2" s="2" t="s">
        <v>4</v>
      </c>
      <c r="B2" s="2" t="s">
        <v>5</v>
      </c>
      <c r="C2" s="3" t="s">
        <v>6</v>
      </c>
      <c r="E2" s="10" t="s">
        <v>230</v>
      </c>
      <c r="F2" s="10" t="s">
        <v>230</v>
      </c>
      <c r="G2" s="10" t="s">
        <v>230</v>
      </c>
      <c r="H2" s="10" t="s">
        <v>230</v>
      </c>
      <c r="I2" s="10" t="s">
        <v>230</v>
      </c>
      <c r="J2" s="10" t="s">
        <v>230</v>
      </c>
      <c r="K2" s="10" t="s">
        <v>230</v>
      </c>
      <c r="M2" t="s">
        <v>7</v>
      </c>
      <c r="N2" s="3">
        <v>0</v>
      </c>
    </row>
    <row r="3" spans="1:14" x14ac:dyDescent="0.2">
      <c r="A3" s="2" t="s">
        <v>4</v>
      </c>
      <c r="B3" s="2" t="s">
        <v>8</v>
      </c>
      <c r="C3" s="3" t="s">
        <v>127</v>
      </c>
      <c r="E3" s="10" t="s">
        <v>230</v>
      </c>
      <c r="F3" s="10" t="s">
        <v>230</v>
      </c>
      <c r="G3" s="10" t="s">
        <v>230</v>
      </c>
      <c r="H3" s="10" t="s">
        <v>230</v>
      </c>
      <c r="M3" t="s">
        <v>9</v>
      </c>
      <c r="N3" s="3">
        <v>2</v>
      </c>
    </row>
    <row r="4" spans="1:14" x14ac:dyDescent="0.2">
      <c r="A4" s="2" t="s">
        <v>4</v>
      </c>
      <c r="B4" s="2" t="s">
        <v>10</v>
      </c>
      <c r="C4" s="3" t="s">
        <v>139</v>
      </c>
      <c r="E4" s="10" t="s">
        <v>230</v>
      </c>
      <c r="F4" s="10" t="s">
        <v>230</v>
      </c>
      <c r="G4" s="10" t="s">
        <v>230</v>
      </c>
      <c r="H4" s="10" t="s">
        <v>230</v>
      </c>
      <c r="M4" t="s">
        <v>11</v>
      </c>
      <c r="N4" s="3">
        <v>0</v>
      </c>
    </row>
    <row r="5" spans="1:14" x14ac:dyDescent="0.2">
      <c r="A5" s="2" t="s">
        <v>12</v>
      </c>
      <c r="B5" s="2" t="s">
        <v>5</v>
      </c>
      <c r="C5" s="3" t="s">
        <v>116</v>
      </c>
      <c r="E5" s="10" t="s">
        <v>230</v>
      </c>
      <c r="F5" s="10" t="s">
        <v>230</v>
      </c>
      <c r="G5" s="10" t="s">
        <v>230</v>
      </c>
      <c r="M5" t="s">
        <v>13</v>
      </c>
      <c r="N5" s="3">
        <v>2</v>
      </c>
    </row>
    <row r="6" spans="1:14" x14ac:dyDescent="0.2">
      <c r="A6" s="2" t="s">
        <v>12</v>
      </c>
      <c r="B6" s="2" t="s">
        <v>8</v>
      </c>
      <c r="C6" s="3" t="s">
        <v>128</v>
      </c>
      <c r="E6" s="10" t="s">
        <v>230</v>
      </c>
      <c r="F6" s="10" t="s">
        <v>230</v>
      </c>
      <c r="M6" t="s">
        <v>14</v>
      </c>
      <c r="N6" s="3">
        <v>0</v>
      </c>
    </row>
    <row r="7" spans="1:14" x14ac:dyDescent="0.2">
      <c r="A7" s="2" t="s">
        <v>12</v>
      </c>
      <c r="B7" s="2" t="s">
        <v>10</v>
      </c>
      <c r="C7" s="3" t="s">
        <v>152</v>
      </c>
      <c r="E7" s="10" t="s">
        <v>230</v>
      </c>
      <c r="F7" s="10" t="s">
        <v>230</v>
      </c>
      <c r="M7" t="s">
        <v>15</v>
      </c>
      <c r="N7" s="3">
        <v>2</v>
      </c>
    </row>
    <row r="8" spans="1:14" x14ac:dyDescent="0.2">
      <c r="A8" s="2" t="s">
        <v>16</v>
      </c>
      <c r="B8" s="2" t="s">
        <v>5</v>
      </c>
      <c r="C8" s="3" t="s">
        <v>141</v>
      </c>
      <c r="E8" s="10" t="s">
        <v>230</v>
      </c>
      <c r="F8" s="10" t="s">
        <v>230</v>
      </c>
      <c r="M8" t="s">
        <v>17</v>
      </c>
      <c r="N8" s="3">
        <v>0</v>
      </c>
    </row>
    <row r="9" spans="1:14" x14ac:dyDescent="0.2">
      <c r="A9" s="2" t="s">
        <v>16</v>
      </c>
      <c r="B9" s="2" t="s">
        <v>8</v>
      </c>
      <c r="C9" s="3" t="s">
        <v>129</v>
      </c>
      <c r="E9" s="10" t="s">
        <v>230</v>
      </c>
      <c r="F9" s="10" t="s">
        <v>230</v>
      </c>
      <c r="M9" t="s">
        <v>18</v>
      </c>
      <c r="N9" s="3">
        <v>3</v>
      </c>
    </row>
    <row r="10" spans="1:14" x14ac:dyDescent="0.2">
      <c r="A10" s="2" t="s">
        <v>16</v>
      </c>
      <c r="B10" s="2" t="s">
        <v>10</v>
      </c>
      <c r="C10" s="3" t="s">
        <v>117</v>
      </c>
      <c r="E10" s="10" t="s">
        <v>230</v>
      </c>
      <c r="M10" t="s">
        <v>19</v>
      </c>
      <c r="N10" s="3">
        <v>0</v>
      </c>
    </row>
    <row r="11" spans="1:14" x14ac:dyDescent="0.2">
      <c r="A11" s="2" t="s">
        <v>20</v>
      </c>
      <c r="B11" s="2" t="s">
        <v>5</v>
      </c>
      <c r="C11" s="3" t="s">
        <v>118</v>
      </c>
      <c r="E11" s="10" t="s">
        <v>230</v>
      </c>
      <c r="M11" t="s">
        <v>21</v>
      </c>
      <c r="N11" s="3">
        <v>0</v>
      </c>
    </row>
    <row r="12" spans="1:14" x14ac:dyDescent="0.2">
      <c r="A12" s="2" t="s">
        <v>20</v>
      </c>
      <c r="B12" s="2" t="s">
        <v>8</v>
      </c>
      <c r="C12" s="3" t="s">
        <v>153</v>
      </c>
      <c r="E12" s="10" t="s">
        <v>230</v>
      </c>
      <c r="M12" t="s">
        <v>22</v>
      </c>
      <c r="N12" s="3">
        <v>0</v>
      </c>
    </row>
    <row r="13" spans="1:14" x14ac:dyDescent="0.2">
      <c r="A13" s="2" t="s">
        <v>20</v>
      </c>
      <c r="B13" s="2" t="s">
        <v>10</v>
      </c>
      <c r="C13" s="3" t="s">
        <v>130</v>
      </c>
      <c r="E13" s="10" t="s">
        <v>230</v>
      </c>
      <c r="M13" t="s">
        <v>23</v>
      </c>
      <c r="N13" s="3">
        <v>0</v>
      </c>
    </row>
    <row r="14" spans="1:14" x14ac:dyDescent="0.2">
      <c r="A14" s="2" t="s">
        <v>24</v>
      </c>
      <c r="B14" s="2" t="s">
        <v>5</v>
      </c>
      <c r="C14" s="3" t="s">
        <v>119</v>
      </c>
      <c r="E14" s="10" t="s">
        <v>230</v>
      </c>
      <c r="M14" t="s">
        <v>25</v>
      </c>
      <c r="N14" s="3">
        <v>1</v>
      </c>
    </row>
    <row r="15" spans="1:14" x14ac:dyDescent="0.2">
      <c r="A15" s="2" t="s">
        <v>24</v>
      </c>
      <c r="B15" s="2" t="s">
        <v>8</v>
      </c>
      <c r="C15" s="3" t="s">
        <v>143</v>
      </c>
      <c r="E15" s="10" t="s">
        <v>230</v>
      </c>
    </row>
    <row r="16" spans="1:14" x14ac:dyDescent="0.2">
      <c r="A16" s="2" t="s">
        <v>24</v>
      </c>
      <c r="B16" s="2" t="s">
        <v>10</v>
      </c>
      <c r="C16" s="3" t="s">
        <v>131</v>
      </c>
      <c r="E16" s="10" t="s">
        <v>230</v>
      </c>
    </row>
    <row r="17" spans="1:5" x14ac:dyDescent="0.2">
      <c r="A17" s="2" t="s">
        <v>26</v>
      </c>
      <c r="B17" s="2" t="s">
        <v>5</v>
      </c>
      <c r="C17" s="3" t="s">
        <v>132</v>
      </c>
      <c r="E17" s="10" t="s">
        <v>230</v>
      </c>
    </row>
    <row r="18" spans="1:5" x14ac:dyDescent="0.2">
      <c r="A18" s="2" t="s">
        <v>26</v>
      </c>
      <c r="B18" s="2" t="s">
        <v>8</v>
      </c>
      <c r="C18" s="3" t="s">
        <v>144</v>
      </c>
    </row>
    <row r="19" spans="1:5" x14ac:dyDescent="0.2">
      <c r="A19" s="2" t="s">
        <v>26</v>
      </c>
      <c r="B19" s="2" t="s">
        <v>10</v>
      </c>
      <c r="C19" s="3" t="s">
        <v>120</v>
      </c>
    </row>
    <row r="20" spans="1:5" x14ac:dyDescent="0.2">
      <c r="A20" s="2" t="s">
        <v>27</v>
      </c>
      <c r="B20" s="2" t="s">
        <v>5</v>
      </c>
      <c r="C20" s="3" t="s">
        <v>161</v>
      </c>
    </row>
    <row r="21" spans="1:5" x14ac:dyDescent="0.2">
      <c r="A21" s="2" t="s">
        <v>27</v>
      </c>
      <c r="B21" s="2" t="s">
        <v>8</v>
      </c>
      <c r="C21" s="3" t="s">
        <v>145</v>
      </c>
    </row>
    <row r="22" spans="1:5" x14ac:dyDescent="0.2">
      <c r="A22" s="2" t="s">
        <v>27</v>
      </c>
      <c r="B22" s="2" t="s">
        <v>10</v>
      </c>
      <c r="C22" s="3" t="s">
        <v>121</v>
      </c>
    </row>
    <row r="23" spans="1:5" x14ac:dyDescent="0.2">
      <c r="A23" s="2" t="s">
        <v>28</v>
      </c>
      <c r="B23" s="2" t="s">
        <v>5</v>
      </c>
      <c r="C23" s="3" t="s">
        <v>134</v>
      </c>
    </row>
    <row r="24" spans="1:5" x14ac:dyDescent="0.2">
      <c r="A24" s="2" t="s">
        <v>28</v>
      </c>
      <c r="B24" s="2" t="s">
        <v>8</v>
      </c>
      <c r="C24" s="3" t="s">
        <v>146</v>
      </c>
    </row>
    <row r="25" spans="1:5" x14ac:dyDescent="0.2">
      <c r="A25" s="2" t="s">
        <v>28</v>
      </c>
      <c r="B25" s="2" t="s">
        <v>10</v>
      </c>
      <c r="C25" s="3" t="s">
        <v>122</v>
      </c>
    </row>
    <row r="26" spans="1:5" x14ac:dyDescent="0.2">
      <c r="A26" s="2" t="s">
        <v>29</v>
      </c>
      <c r="B26" s="2" t="s">
        <v>5</v>
      </c>
      <c r="C26" s="3" t="s">
        <v>147</v>
      </c>
      <c r="E26" s="3"/>
    </row>
    <row r="27" spans="1:5" x14ac:dyDescent="0.2">
      <c r="A27" s="2" t="s">
        <v>29</v>
      </c>
      <c r="B27" s="2" t="s">
        <v>8</v>
      </c>
      <c r="C27" s="3" t="s">
        <v>123</v>
      </c>
    </row>
    <row r="28" spans="1:5" x14ac:dyDescent="0.2">
      <c r="A28" s="2" t="s">
        <v>29</v>
      </c>
      <c r="B28" s="2" t="s">
        <v>10</v>
      </c>
      <c r="C28" s="3" t="s">
        <v>135</v>
      </c>
    </row>
    <row r="29" spans="1:5" x14ac:dyDescent="0.2">
      <c r="A29" s="2" t="s">
        <v>30</v>
      </c>
      <c r="B29" s="2" t="s">
        <v>5</v>
      </c>
      <c r="C29" s="3" t="s">
        <v>124</v>
      </c>
    </row>
    <row r="30" spans="1:5" x14ac:dyDescent="0.2">
      <c r="A30" s="2" t="s">
        <v>30</v>
      </c>
      <c r="B30" s="2" t="s">
        <v>8</v>
      </c>
      <c r="C30" s="14" t="s">
        <v>136</v>
      </c>
    </row>
    <row r="31" spans="1:5" x14ac:dyDescent="0.2">
      <c r="A31" s="2" t="s">
        <v>30</v>
      </c>
      <c r="B31" s="2" t="s">
        <v>10</v>
      </c>
      <c r="C31" s="14" t="s">
        <v>165</v>
      </c>
    </row>
    <row r="32" spans="1:5" x14ac:dyDescent="0.2">
      <c r="A32" s="2" t="s">
        <v>31</v>
      </c>
      <c r="B32" s="2" t="s">
        <v>5</v>
      </c>
      <c r="C32" s="3" t="s">
        <v>137</v>
      </c>
    </row>
    <row r="33" spans="1:3" x14ac:dyDescent="0.2">
      <c r="A33" s="2" t="s">
        <v>31</v>
      </c>
      <c r="B33" s="2" t="s">
        <v>8</v>
      </c>
      <c r="C33" s="3" t="s">
        <v>154</v>
      </c>
    </row>
    <row r="34" spans="1:3" x14ac:dyDescent="0.2">
      <c r="A34" s="2" t="s">
        <v>31</v>
      </c>
      <c r="B34" s="2" t="s">
        <v>10</v>
      </c>
      <c r="C34" s="3" t="s">
        <v>125</v>
      </c>
    </row>
    <row r="35" spans="1:3" x14ac:dyDescent="0.2">
      <c r="A35" s="2" t="s">
        <v>32</v>
      </c>
      <c r="B35" s="2" t="s">
        <v>5</v>
      </c>
      <c r="C35" s="3" t="s">
        <v>126</v>
      </c>
    </row>
    <row r="36" spans="1:3" x14ac:dyDescent="0.2">
      <c r="A36" s="2" t="s">
        <v>32</v>
      </c>
      <c r="B36" s="2" t="s">
        <v>8</v>
      </c>
      <c r="C36" s="3" t="s">
        <v>150</v>
      </c>
    </row>
    <row r="37" spans="1:3" x14ac:dyDescent="0.2">
      <c r="A37" s="2" t="s">
        <v>32</v>
      </c>
      <c r="B37" s="2" t="s">
        <v>10</v>
      </c>
      <c r="C37" s="3" t="s">
        <v>245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40" zoomScale="115" zoomScaleNormal="115" workbookViewId="0">
      <selection activeCell="B13" sqref="B13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33</v>
      </c>
      <c r="B1" s="4" t="s">
        <v>237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220</v>
      </c>
      <c r="CF1" s="8" t="s">
        <v>114</v>
      </c>
    </row>
    <row r="2" spans="1:84" x14ac:dyDescent="0.2">
      <c r="A2" t="s">
        <v>115</v>
      </c>
      <c r="B2" t="s">
        <v>238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13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11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7.5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31.5</v>
      </c>
    </row>
    <row r="3" spans="1:84" x14ac:dyDescent="0.2">
      <c r="A3" t="s">
        <v>151</v>
      </c>
      <c r="B3" t="s">
        <v>239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13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13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9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2</v>
      </c>
      <c r="CE3">
        <f>IF(BR3='Resultats Reals'!$K$2,5,0)</f>
        <v>0</v>
      </c>
      <c r="CF3" s="7">
        <f t="shared" ref="CF3:CF49" si="0">SUM(BU3:CE3)</f>
        <v>37</v>
      </c>
    </row>
    <row r="4" spans="1:84" x14ac:dyDescent="0.2">
      <c r="A4" t="s">
        <v>155</v>
      </c>
      <c r="B4" t="s">
        <v>238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13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12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7.5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32.5</v>
      </c>
    </row>
    <row r="5" spans="1:84" x14ac:dyDescent="0.2">
      <c r="A5" t="s">
        <v>158</v>
      </c>
      <c r="B5" t="s">
        <v>240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12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14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8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2</v>
      </c>
      <c r="CE5">
        <f>IF(BR5='Resultats Reals'!$K$2,5,0)</f>
        <v>0</v>
      </c>
      <c r="CF5" s="7">
        <f t="shared" si="0"/>
        <v>36</v>
      </c>
    </row>
    <row r="6" spans="1:84" x14ac:dyDescent="0.2">
      <c r="A6" t="s">
        <v>159</v>
      </c>
      <c r="B6" t="s">
        <v>238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11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12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9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2</v>
      </c>
      <c r="CE6">
        <f>IF(BR6='Resultats Reals'!$K$2,5,0)</f>
        <v>0</v>
      </c>
      <c r="CF6" s="7">
        <f t="shared" si="0"/>
        <v>34</v>
      </c>
    </row>
    <row r="7" spans="1:84" x14ac:dyDescent="0.2">
      <c r="A7" t="s">
        <v>160</v>
      </c>
      <c r="B7" t="s">
        <v>240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16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10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7.5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2</v>
      </c>
      <c r="CE7">
        <f>IF(BR7='Resultats Reals'!$K$2,5,0)</f>
        <v>0</v>
      </c>
      <c r="CF7" s="7">
        <f t="shared" si="0"/>
        <v>35.5</v>
      </c>
    </row>
    <row r="8" spans="1:84" x14ac:dyDescent="0.2">
      <c r="A8" t="s">
        <v>162</v>
      </c>
      <c r="B8" t="s">
        <v>241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10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8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3.5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21.5</v>
      </c>
    </row>
    <row r="9" spans="1:84" x14ac:dyDescent="0.2">
      <c r="A9" t="s">
        <v>167</v>
      </c>
      <c r="B9" t="s">
        <v>242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221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10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12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9.5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2</v>
      </c>
      <c r="CE9">
        <f>IF(BR9='Resultats Reals'!$K$2,5,0)</f>
        <v>0</v>
      </c>
      <c r="CF9" s="7">
        <f t="shared" si="0"/>
        <v>33.5</v>
      </c>
    </row>
    <row r="10" spans="1:84" x14ac:dyDescent="0.2">
      <c r="A10" t="s">
        <v>169</v>
      </c>
      <c r="B10" t="s">
        <v>240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10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12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9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2</v>
      </c>
      <c r="CE10">
        <f>IF(BR10='Resultats Reals'!$K$2,5,0)</f>
        <v>0</v>
      </c>
      <c r="CF10" s="7">
        <f t="shared" si="0"/>
        <v>33</v>
      </c>
    </row>
    <row r="11" spans="1:84" x14ac:dyDescent="0.2">
      <c r="A11" t="s">
        <v>211</v>
      </c>
      <c r="B11" t="s">
        <v>238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11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14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7.5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2</v>
      </c>
      <c r="CE11">
        <f>IF(BR11='Resultats Reals'!$K$2,5,0)</f>
        <v>0</v>
      </c>
      <c r="CF11" s="7">
        <f t="shared" si="0"/>
        <v>34.5</v>
      </c>
    </row>
    <row r="12" spans="1:84" x14ac:dyDescent="0.2">
      <c r="A12" t="s">
        <v>212</v>
      </c>
      <c r="B12" t="s">
        <v>242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8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9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10.5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2</v>
      </c>
      <c r="CE12">
        <f>IF(BR12='Resultats Reals'!$K$2,5,0)</f>
        <v>0</v>
      </c>
      <c r="CF12" s="7">
        <f t="shared" si="0"/>
        <v>29.5</v>
      </c>
    </row>
    <row r="13" spans="1:84" x14ac:dyDescent="0.2">
      <c r="A13" t="s">
        <v>171</v>
      </c>
      <c r="B13" t="s">
        <v>240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11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8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9.5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2</v>
      </c>
      <c r="CE13">
        <f>IF(BR13='Resultats Reals'!$K$2,5,0)</f>
        <v>0</v>
      </c>
      <c r="CF13" s="7">
        <f t="shared" si="0"/>
        <v>30.5</v>
      </c>
    </row>
    <row r="14" spans="1:84" x14ac:dyDescent="0.2">
      <c r="A14" t="s">
        <v>231</v>
      </c>
      <c r="B14" t="s">
        <v>240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13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10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9.5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32.5</v>
      </c>
    </row>
    <row r="15" spans="1:84" x14ac:dyDescent="0.2">
      <c r="A15" t="s">
        <v>172</v>
      </c>
      <c r="B15" t="s">
        <v>240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13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13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6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32</v>
      </c>
    </row>
    <row r="16" spans="1:84" x14ac:dyDescent="0.2">
      <c r="A16" t="s">
        <v>232</v>
      </c>
      <c r="B16" t="s">
        <v>240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15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10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7.5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32.5</v>
      </c>
    </row>
    <row r="17" spans="1:84" x14ac:dyDescent="0.2">
      <c r="A17" t="s">
        <v>173</v>
      </c>
      <c r="B17" t="s">
        <v>241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174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12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6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9.5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2</v>
      </c>
      <c r="CE17">
        <f>IF(BR17='Resultats Reals'!$K$2,5,0)</f>
        <v>0</v>
      </c>
      <c r="CF17" s="7">
        <f t="shared" si="0"/>
        <v>29.5</v>
      </c>
    </row>
    <row r="18" spans="1:84" x14ac:dyDescent="0.2">
      <c r="A18" t="s">
        <v>233</v>
      </c>
      <c r="B18" t="s">
        <v>243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175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11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11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7.5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2</v>
      </c>
      <c r="CE18">
        <f>IF(BR18='Resultats Reals'!$K$2,5,0)</f>
        <v>0</v>
      </c>
      <c r="CF18" s="7">
        <f t="shared" si="0"/>
        <v>31.5</v>
      </c>
    </row>
    <row r="19" spans="1:84" x14ac:dyDescent="0.2">
      <c r="A19" t="s">
        <v>176</v>
      </c>
      <c r="B19" t="s">
        <v>240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13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11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8.5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1</v>
      </c>
      <c r="CE19">
        <f>IF(BR19='Resultats Reals'!$K$2,5,0)</f>
        <v>0</v>
      </c>
      <c r="CF19" s="7">
        <f t="shared" si="0"/>
        <v>33.5</v>
      </c>
    </row>
    <row r="20" spans="1:84" x14ac:dyDescent="0.2">
      <c r="A20" t="s">
        <v>177</v>
      </c>
      <c r="B20" t="s">
        <v>238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11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9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10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2</v>
      </c>
      <c r="CE20">
        <f>IF(BR20='Resultats Reals'!$K$2,5,0)</f>
        <v>0</v>
      </c>
      <c r="CF20" s="7">
        <f t="shared" si="0"/>
        <v>32</v>
      </c>
    </row>
    <row r="21" spans="1:84" x14ac:dyDescent="0.2">
      <c r="A21" t="s">
        <v>178</v>
      </c>
      <c r="B21" t="s">
        <v>238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11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9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10.5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2</v>
      </c>
      <c r="CE21">
        <f>IF(BR21='Resultats Reals'!$K$2,5,0)</f>
        <v>0</v>
      </c>
      <c r="CF21" s="7">
        <f t="shared" si="0"/>
        <v>32.5</v>
      </c>
    </row>
    <row r="22" spans="1:84" x14ac:dyDescent="0.2">
      <c r="A22" t="s">
        <v>179</v>
      </c>
      <c r="B22" t="s">
        <v>240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180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10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7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8.5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2</v>
      </c>
      <c r="CE22">
        <f>IF(BR22='Resultats Reals'!$K$2,5,0)</f>
        <v>0</v>
      </c>
      <c r="CF22" s="7">
        <f t="shared" si="0"/>
        <v>27.5</v>
      </c>
    </row>
    <row r="23" spans="1:84" x14ac:dyDescent="0.2">
      <c r="A23" t="s">
        <v>235</v>
      </c>
      <c r="B23" t="s">
        <v>244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180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10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7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8.5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2</v>
      </c>
      <c r="CE23">
        <f>IF(BR23='Resultats Reals'!$K$2,5,0)</f>
        <v>0</v>
      </c>
      <c r="CF23" s="7">
        <f t="shared" si="0"/>
        <v>27.5</v>
      </c>
    </row>
    <row r="24" spans="1:84" x14ac:dyDescent="0.2">
      <c r="A24" t="s">
        <v>181</v>
      </c>
      <c r="B24" t="s">
        <v>238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13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15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2</v>
      </c>
      <c r="CE24">
        <f>IF(BR24='Resultats Reals'!$K$2,5,0)</f>
        <v>0</v>
      </c>
      <c r="CF24" s="7">
        <f t="shared" si="0"/>
        <v>35</v>
      </c>
    </row>
    <row r="25" spans="1:84" x14ac:dyDescent="0.2">
      <c r="A25" t="s">
        <v>234</v>
      </c>
      <c r="B25" t="s">
        <v>244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180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10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7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8.5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25.5</v>
      </c>
    </row>
    <row r="26" spans="1:84" x14ac:dyDescent="0.2">
      <c r="A26" t="s">
        <v>182</v>
      </c>
      <c r="B26" t="s">
        <v>243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183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11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12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8.5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2</v>
      </c>
      <c r="CE26">
        <f>IF(BR26='Resultats Reals'!$K$2,5,0)</f>
        <v>0</v>
      </c>
      <c r="CF26" s="7">
        <f t="shared" si="0"/>
        <v>33.5</v>
      </c>
    </row>
    <row r="27" spans="1:84" x14ac:dyDescent="0.2">
      <c r="A27" t="s">
        <v>184</v>
      </c>
      <c r="B27" t="s">
        <v>238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9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10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10.5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29.5</v>
      </c>
    </row>
    <row r="28" spans="1:84" x14ac:dyDescent="0.2">
      <c r="A28" t="s">
        <v>185</v>
      </c>
      <c r="B28" t="s">
        <v>239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186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14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8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9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2</v>
      </c>
      <c r="CE28">
        <f>IF(BR28='Resultats Reals'!$K$2,5,0)</f>
        <v>0</v>
      </c>
      <c r="CF28" s="7">
        <f t="shared" si="0"/>
        <v>33</v>
      </c>
    </row>
    <row r="29" spans="1:84" x14ac:dyDescent="0.2">
      <c r="A29" t="s">
        <v>187</v>
      </c>
      <c r="B29" t="s">
        <v>239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183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12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8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9.5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2</v>
      </c>
      <c r="CE29">
        <f>IF(BR29='Resultats Reals'!$K$2,5,0)</f>
        <v>0</v>
      </c>
      <c r="CF29" s="7">
        <f t="shared" si="0"/>
        <v>31.5</v>
      </c>
    </row>
    <row r="30" spans="1:84" x14ac:dyDescent="0.2">
      <c r="A30" t="s">
        <v>188</v>
      </c>
      <c r="B30" t="s">
        <v>238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189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11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10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9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30</v>
      </c>
    </row>
    <row r="31" spans="1:84" x14ac:dyDescent="0.2">
      <c r="A31" t="s">
        <v>236</v>
      </c>
      <c r="B31" t="s">
        <v>239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10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10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9.5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2</v>
      </c>
      <c r="CE31">
        <f>IF(BR31='Resultats Reals'!$K$2,5,0)</f>
        <v>0</v>
      </c>
      <c r="CF31" s="7">
        <f t="shared" si="0"/>
        <v>31.5</v>
      </c>
    </row>
    <row r="32" spans="1:84" x14ac:dyDescent="0.2">
      <c r="A32" t="s">
        <v>190</v>
      </c>
      <c r="B32" t="s">
        <v>238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191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12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13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7.5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2</v>
      </c>
      <c r="CE32">
        <f>IF(BR32='Resultats Reals'!$K$2,5,0)</f>
        <v>0</v>
      </c>
      <c r="CF32" s="7">
        <f t="shared" si="0"/>
        <v>34.5</v>
      </c>
    </row>
    <row r="33" spans="1:84" x14ac:dyDescent="0.2">
      <c r="A33" t="s">
        <v>213</v>
      </c>
      <c r="B33" t="s">
        <v>238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11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9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10.5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30.5</v>
      </c>
    </row>
    <row r="34" spans="1:84" x14ac:dyDescent="0.2">
      <c r="A34" t="s">
        <v>192</v>
      </c>
      <c r="B34" t="s">
        <v>242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193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13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13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7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2</v>
      </c>
      <c r="CE34">
        <f>IF(BR34='Resultats Reals'!$K$2,5,0)</f>
        <v>0</v>
      </c>
      <c r="CF34" s="7">
        <f t="shared" si="0"/>
        <v>35</v>
      </c>
    </row>
    <row r="35" spans="1:84" x14ac:dyDescent="0.2">
      <c r="A35" t="s">
        <v>214</v>
      </c>
      <c r="B35" t="s">
        <v>238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10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12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9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2</v>
      </c>
      <c r="CE35">
        <f>IF(BR35='Resultats Reals'!$K$2,5,0)</f>
        <v>0</v>
      </c>
      <c r="CF35" s="7">
        <f t="shared" si="0"/>
        <v>33</v>
      </c>
    </row>
    <row r="36" spans="1:84" x14ac:dyDescent="0.2">
      <c r="A36" t="s">
        <v>194</v>
      </c>
      <c r="B36" t="s">
        <v>238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12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11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9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2</v>
      </c>
      <c r="CE36">
        <f>IF(BR36='Resultats Reals'!$K$2,5,0)</f>
        <v>0</v>
      </c>
      <c r="CF36" s="7">
        <f t="shared" si="0"/>
        <v>34</v>
      </c>
    </row>
    <row r="37" spans="1:84" x14ac:dyDescent="0.2">
      <c r="A37" t="s">
        <v>195</v>
      </c>
      <c r="B37" t="s">
        <v>238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196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12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14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9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35</v>
      </c>
    </row>
    <row r="38" spans="1:84" x14ac:dyDescent="0.2">
      <c r="A38" t="s">
        <v>215</v>
      </c>
      <c r="B38" t="s">
        <v>238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197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183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11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11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9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2</v>
      </c>
      <c r="CE38">
        <f>IF(BR38='Resultats Reals'!$K$2,5,0)</f>
        <v>0</v>
      </c>
      <c r="CF38" s="7">
        <f t="shared" si="0"/>
        <v>33</v>
      </c>
    </row>
    <row r="39" spans="1:84" x14ac:dyDescent="0.2">
      <c r="A39" t="s">
        <v>198</v>
      </c>
      <c r="B39" t="s">
        <v>240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199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200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15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8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9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32</v>
      </c>
    </row>
    <row r="40" spans="1:84" x14ac:dyDescent="0.2">
      <c r="A40" t="s">
        <v>216</v>
      </c>
      <c r="B40" t="s">
        <v>240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183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13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9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9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2</v>
      </c>
      <c r="CE40">
        <f>IF(BR40='Resultats Reals'!$K$2,5,0)</f>
        <v>0</v>
      </c>
      <c r="CF40" s="7">
        <f t="shared" si="0"/>
        <v>33</v>
      </c>
    </row>
    <row r="41" spans="1:84" x14ac:dyDescent="0.2">
      <c r="A41" t="s">
        <v>201</v>
      </c>
      <c r="B41" t="s">
        <v>240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202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13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11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7.5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31.5</v>
      </c>
    </row>
    <row r="42" spans="1:84" x14ac:dyDescent="0.2">
      <c r="A42" t="s">
        <v>203</v>
      </c>
      <c r="B42" t="s">
        <v>238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12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15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8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2</v>
      </c>
      <c r="CE42">
        <f>IF(BR42='Resultats Reals'!$K$2,5,0)</f>
        <v>0</v>
      </c>
      <c r="CF42" s="7">
        <f t="shared" si="0"/>
        <v>37</v>
      </c>
    </row>
    <row r="43" spans="1:84" x14ac:dyDescent="0.2">
      <c r="A43" t="s">
        <v>204</v>
      </c>
      <c r="B43" t="s">
        <v>240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205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11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13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9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2</v>
      </c>
      <c r="CE43">
        <f>IF(BR43='Resultats Reals'!$K$2,5,0)</f>
        <v>0</v>
      </c>
      <c r="CF43" s="7">
        <f t="shared" si="0"/>
        <v>35</v>
      </c>
    </row>
    <row r="44" spans="1:84" x14ac:dyDescent="0.2">
      <c r="A44" t="s">
        <v>217</v>
      </c>
      <c r="B44" t="s">
        <v>243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13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13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7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2</v>
      </c>
      <c r="CE44">
        <f>IF(BR44='Resultats Reals'!$K$2,5,0)</f>
        <v>0</v>
      </c>
      <c r="CF44" s="7">
        <f t="shared" si="0"/>
        <v>35</v>
      </c>
    </row>
    <row r="45" spans="1:84" x14ac:dyDescent="0.2">
      <c r="A45" t="s">
        <v>206</v>
      </c>
      <c r="B45" t="s">
        <v>238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12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10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7.5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2</v>
      </c>
      <c r="CE45">
        <f>IF(BR45='Resultats Reals'!$K$2,5,0)</f>
        <v>0</v>
      </c>
      <c r="CF45" s="7">
        <f t="shared" si="0"/>
        <v>31.5</v>
      </c>
    </row>
    <row r="46" spans="1:84" x14ac:dyDescent="0.2">
      <c r="A46" t="s">
        <v>207</v>
      </c>
      <c r="B46" t="s">
        <v>238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208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13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13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7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33</v>
      </c>
    </row>
    <row r="47" spans="1:84" x14ac:dyDescent="0.2">
      <c r="A47" t="s">
        <v>209</v>
      </c>
      <c r="B47" t="s">
        <v>240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9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9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9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27</v>
      </c>
    </row>
    <row r="48" spans="1:84" x14ac:dyDescent="0.2">
      <c r="A48" t="s">
        <v>210</v>
      </c>
      <c r="B48" t="s">
        <v>240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12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12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6.5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30.5</v>
      </c>
    </row>
    <row r="49" spans="1:84" x14ac:dyDescent="0.2">
      <c r="A49" t="s">
        <v>218</v>
      </c>
      <c r="B49" t="s">
        <v>238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219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10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12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8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/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223</v>
      </c>
      <c r="B1" t="s">
        <v>224</v>
      </c>
    </row>
    <row r="2" spans="1:2" x14ac:dyDescent="0.2">
      <c r="A2" s="12" t="s">
        <v>151</v>
      </c>
      <c r="B2" s="13">
        <v>40</v>
      </c>
    </row>
    <row r="3" spans="1:2" x14ac:dyDescent="0.2">
      <c r="A3" s="12" t="s">
        <v>159</v>
      </c>
      <c r="B3" s="13">
        <v>40</v>
      </c>
    </row>
    <row r="4" spans="1:2" x14ac:dyDescent="0.2">
      <c r="A4" s="12" t="s">
        <v>158</v>
      </c>
      <c r="B4" s="13">
        <v>39.5</v>
      </c>
    </row>
    <row r="5" spans="1:2" x14ac:dyDescent="0.2">
      <c r="A5" s="12" t="s">
        <v>203</v>
      </c>
      <c r="B5" s="13">
        <v>39.5</v>
      </c>
    </row>
    <row r="6" spans="1:2" x14ac:dyDescent="0.2">
      <c r="A6" s="12" t="s">
        <v>182</v>
      </c>
      <c r="B6" s="13">
        <v>39.5</v>
      </c>
    </row>
    <row r="7" spans="1:2" x14ac:dyDescent="0.2">
      <c r="A7" s="12" t="s">
        <v>215</v>
      </c>
      <c r="B7" s="13">
        <v>38.5</v>
      </c>
    </row>
    <row r="8" spans="1:2" x14ac:dyDescent="0.2">
      <c r="A8" s="12" t="s">
        <v>181</v>
      </c>
      <c r="B8" s="13">
        <v>38.5</v>
      </c>
    </row>
    <row r="9" spans="1:2" x14ac:dyDescent="0.2">
      <c r="A9" s="12" t="s">
        <v>177</v>
      </c>
      <c r="B9" s="13">
        <v>37.5</v>
      </c>
    </row>
    <row r="10" spans="1:2" x14ac:dyDescent="0.2">
      <c r="A10" s="12" t="s">
        <v>233</v>
      </c>
      <c r="B10" s="13">
        <v>37.5</v>
      </c>
    </row>
    <row r="11" spans="1:2" x14ac:dyDescent="0.2">
      <c r="A11" s="12" t="s">
        <v>190</v>
      </c>
      <c r="B11" s="13">
        <v>37.5</v>
      </c>
    </row>
    <row r="12" spans="1:2" x14ac:dyDescent="0.2">
      <c r="A12" s="12" t="s">
        <v>192</v>
      </c>
      <c r="B12" s="13">
        <v>37.5</v>
      </c>
    </row>
    <row r="13" spans="1:2" x14ac:dyDescent="0.2">
      <c r="A13" s="12" t="s">
        <v>236</v>
      </c>
      <c r="B13" s="13">
        <v>37</v>
      </c>
    </row>
    <row r="14" spans="1:2" x14ac:dyDescent="0.2">
      <c r="A14" s="12" t="s">
        <v>194</v>
      </c>
      <c r="B14" s="13">
        <v>37</v>
      </c>
    </row>
    <row r="15" spans="1:2" x14ac:dyDescent="0.2">
      <c r="A15" s="12" t="s">
        <v>160</v>
      </c>
      <c r="B15" s="13">
        <v>37</v>
      </c>
    </row>
    <row r="16" spans="1:2" x14ac:dyDescent="0.2">
      <c r="A16" s="12" t="s">
        <v>211</v>
      </c>
      <c r="B16" s="13">
        <v>36.5</v>
      </c>
    </row>
    <row r="17" spans="1:2" x14ac:dyDescent="0.2">
      <c r="A17" s="12" t="s">
        <v>187</v>
      </c>
      <c r="B17" s="13">
        <v>36.5</v>
      </c>
    </row>
    <row r="18" spans="1:2" x14ac:dyDescent="0.2">
      <c r="A18" s="12" t="s">
        <v>169</v>
      </c>
      <c r="B18" s="13">
        <v>36</v>
      </c>
    </row>
    <row r="19" spans="1:2" x14ac:dyDescent="0.2">
      <c r="A19" s="12" t="s">
        <v>207</v>
      </c>
      <c r="B19" s="13">
        <v>36</v>
      </c>
    </row>
    <row r="20" spans="1:2" x14ac:dyDescent="0.2">
      <c r="A20" s="12" t="s">
        <v>167</v>
      </c>
      <c r="B20" s="13">
        <v>36</v>
      </c>
    </row>
    <row r="21" spans="1:2" x14ac:dyDescent="0.2">
      <c r="A21" s="12" t="s">
        <v>185</v>
      </c>
      <c r="B21" s="13">
        <v>36</v>
      </c>
    </row>
    <row r="22" spans="1:2" x14ac:dyDescent="0.2">
      <c r="A22" s="12" t="s">
        <v>231</v>
      </c>
      <c r="B22" s="13">
        <v>35.5</v>
      </c>
    </row>
    <row r="23" spans="1:2" x14ac:dyDescent="0.2">
      <c r="A23" s="12" t="s">
        <v>204</v>
      </c>
      <c r="B23" s="13">
        <v>35.5</v>
      </c>
    </row>
    <row r="24" spans="1:2" x14ac:dyDescent="0.2">
      <c r="A24" s="12" t="s">
        <v>178</v>
      </c>
      <c r="B24" s="13">
        <v>35.5</v>
      </c>
    </row>
    <row r="25" spans="1:2" x14ac:dyDescent="0.2">
      <c r="A25" s="12" t="s">
        <v>155</v>
      </c>
      <c r="B25" s="13">
        <v>35.5</v>
      </c>
    </row>
    <row r="26" spans="1:2" x14ac:dyDescent="0.2">
      <c r="A26" s="12" t="s">
        <v>201</v>
      </c>
      <c r="B26" s="13">
        <v>35</v>
      </c>
    </row>
    <row r="27" spans="1:2" x14ac:dyDescent="0.2">
      <c r="A27" s="12" t="s">
        <v>115</v>
      </c>
      <c r="B27" s="13">
        <v>34.5</v>
      </c>
    </row>
    <row r="28" spans="1:2" x14ac:dyDescent="0.2">
      <c r="A28" s="12" t="s">
        <v>217</v>
      </c>
      <c r="B28" s="13">
        <v>34.5</v>
      </c>
    </row>
    <row r="29" spans="1:2" x14ac:dyDescent="0.2">
      <c r="A29" s="12" t="s">
        <v>172</v>
      </c>
      <c r="B29" s="13">
        <v>34</v>
      </c>
    </row>
    <row r="30" spans="1:2" x14ac:dyDescent="0.2">
      <c r="A30" s="12" t="s">
        <v>195</v>
      </c>
      <c r="B30" s="13">
        <v>34</v>
      </c>
    </row>
    <row r="31" spans="1:2" x14ac:dyDescent="0.2">
      <c r="A31" s="12" t="s">
        <v>232</v>
      </c>
      <c r="B31" s="13">
        <v>34</v>
      </c>
    </row>
    <row r="32" spans="1:2" x14ac:dyDescent="0.2">
      <c r="A32" s="12" t="s">
        <v>214</v>
      </c>
      <c r="B32" s="13">
        <v>33.5</v>
      </c>
    </row>
    <row r="33" spans="1:2" x14ac:dyDescent="0.2">
      <c r="A33" s="12" t="s">
        <v>171</v>
      </c>
      <c r="B33" s="13">
        <v>33.5</v>
      </c>
    </row>
    <row r="34" spans="1:2" x14ac:dyDescent="0.2">
      <c r="A34" s="12" t="s">
        <v>213</v>
      </c>
      <c r="B34" s="13">
        <v>33.5</v>
      </c>
    </row>
    <row r="35" spans="1:2" x14ac:dyDescent="0.2">
      <c r="A35" s="12" t="s">
        <v>188</v>
      </c>
      <c r="B35" s="13">
        <v>33</v>
      </c>
    </row>
    <row r="36" spans="1:2" x14ac:dyDescent="0.2">
      <c r="A36" s="12" t="s">
        <v>176</v>
      </c>
      <c r="B36" s="13">
        <v>33</v>
      </c>
    </row>
    <row r="37" spans="1:2" x14ac:dyDescent="0.2">
      <c r="A37" s="12" t="s">
        <v>173</v>
      </c>
      <c r="B37" s="13">
        <v>33</v>
      </c>
    </row>
    <row r="38" spans="1:2" x14ac:dyDescent="0.2">
      <c r="A38" s="12" t="s">
        <v>216</v>
      </c>
      <c r="B38" s="13">
        <v>32.5</v>
      </c>
    </row>
    <row r="39" spans="1:2" x14ac:dyDescent="0.2">
      <c r="A39" s="12" t="s">
        <v>209</v>
      </c>
      <c r="B39" s="13">
        <v>32.5</v>
      </c>
    </row>
    <row r="40" spans="1:2" x14ac:dyDescent="0.2">
      <c r="A40" s="12" t="s">
        <v>184</v>
      </c>
      <c r="B40" s="13">
        <v>32.5</v>
      </c>
    </row>
    <row r="41" spans="1:2" x14ac:dyDescent="0.2">
      <c r="A41" s="12" t="s">
        <v>218</v>
      </c>
      <c r="B41" s="13">
        <v>32.5</v>
      </c>
    </row>
    <row r="42" spans="1:2" x14ac:dyDescent="0.2">
      <c r="A42" s="12" t="s">
        <v>206</v>
      </c>
      <c r="B42" s="13">
        <v>32.5</v>
      </c>
    </row>
    <row r="43" spans="1:2" x14ac:dyDescent="0.2">
      <c r="A43" s="12" t="s">
        <v>210</v>
      </c>
      <c r="B43" s="13">
        <v>31.5</v>
      </c>
    </row>
    <row r="44" spans="1:2" x14ac:dyDescent="0.2">
      <c r="A44" s="12" t="s">
        <v>212</v>
      </c>
      <c r="B44" s="13">
        <v>31.5</v>
      </c>
    </row>
    <row r="45" spans="1:2" x14ac:dyDescent="0.2">
      <c r="A45" s="12" t="s">
        <v>179</v>
      </c>
      <c r="B45" s="13">
        <v>30</v>
      </c>
    </row>
    <row r="46" spans="1:2" x14ac:dyDescent="0.2">
      <c r="A46" s="12" t="s">
        <v>198</v>
      </c>
      <c r="B46" s="13">
        <v>29</v>
      </c>
    </row>
    <row r="47" spans="1:2" x14ac:dyDescent="0.2">
      <c r="A47" s="12" t="s">
        <v>235</v>
      </c>
      <c r="B47" s="13">
        <v>28</v>
      </c>
    </row>
    <row r="48" spans="1:2" x14ac:dyDescent="0.2">
      <c r="A48" s="12" t="s">
        <v>234</v>
      </c>
      <c r="B48" s="13">
        <v>28</v>
      </c>
    </row>
    <row r="49" spans="1:2" x14ac:dyDescent="0.2">
      <c r="A49" s="12" t="s">
        <v>162</v>
      </c>
      <c r="B49" s="13">
        <v>20.5</v>
      </c>
    </row>
    <row r="50" spans="1:2" x14ac:dyDescent="0.2">
      <c r="A50" s="12" t="s">
        <v>222</v>
      </c>
      <c r="B50" s="13">
        <v>1662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2026-06-17T06:05:28Z</dcterms:modified>
</cp:coreProperties>
</file>