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sorigue365-my.sharepoint.com/personal/marc_llopis_sorigue_com/Documents/Desktop/Porra Mundial/"/>
    </mc:Choice>
  </mc:AlternateContent>
  <xr:revisionPtr revIDLastSave="731" documentId="11_77D7F8CFEFB5B4E2EEC1568F97B647076E5C66F0" xr6:coauthVersionLast="47" xr6:coauthVersionMax="47" xr10:uidLastSave="{B4DA13BF-1E23-4641-B832-C7A85A4B7806}"/>
  <bookViews>
    <workbookView xWindow="1560" yWindow="1560" windowWidth="26640" windowHeight="13815" activeTab="1" xr2:uid="{00000000-000D-0000-FFFF-FFFF00000000}"/>
  </bookViews>
  <sheets>
    <sheet name="Resultats Reals" sheetId="1" r:id="rId1"/>
    <sheet name="Calendari" sheetId="6" r:id="rId2"/>
    <sheet name="Porra" sheetId="2" r:id="rId3"/>
    <sheet name="Gràfics" sheetId="3" r:id="rId4"/>
    <sheet name="Països_ok" sheetId="5" r:id="rId5"/>
  </sheets>
  <definedNames>
    <definedName name="_xlnm._FilterDatabase" localSheetId="3" hidden="1">Gràfics!$A$1:$B$49</definedName>
    <definedName name="_xlnm._FilterDatabase" localSheetId="2" hidden="1">Porra!$A$1:$CF$49</definedName>
    <definedName name="_xlnm._FilterDatabase" localSheetId="0" hidden="1">'Resultats Reals'!$N$1:$O$14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V38" i="2" l="1"/>
  <c r="A62" i="5"/>
  <c r="A61" i="5"/>
  <c r="A60" i="5"/>
  <c r="A59" i="5"/>
  <c r="A58" i="5"/>
  <c r="A57" i="5"/>
  <c r="A56" i="5"/>
  <c r="A55" i="5"/>
  <c r="A54" i="5"/>
  <c r="A53" i="5"/>
  <c r="A52" i="5"/>
  <c r="A51" i="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C33" i="5" a="1"/>
  <c r="C32" i="5" a="1"/>
  <c r="C31" i="5" a="1"/>
  <c r="C30" i="5" a="1"/>
  <c r="C29" i="5" a="1"/>
  <c r="C28" i="5" a="1"/>
  <c r="C27" i="5" a="1"/>
  <c r="C26" i="5" a="1"/>
  <c r="C25" i="5" a="1"/>
  <c r="C24" i="5" a="1"/>
  <c r="C23" i="5" a="1"/>
  <c r="C22" i="5" a="1"/>
  <c r="C21" i="5" a="1"/>
  <c r="C20" i="5" a="1"/>
  <c r="C19" i="5" a="1"/>
  <c r="C18" i="5" a="1"/>
  <c r="C17" i="5" a="1"/>
  <c r="C16" i="5" a="1"/>
  <c r="C15" i="5" a="1"/>
  <c r="C14" i="5" a="1"/>
  <c r="C13" i="5" a="1"/>
  <c r="C12" i="5" a="1"/>
  <c r="C11" i="5" a="1"/>
  <c r="C10" i="5" a="1"/>
  <c r="C9" i="5" a="1"/>
  <c r="C8" i="5" a="1"/>
  <c r="C7" i="5" a="1"/>
  <c r="C6" i="5" a="1"/>
  <c r="C5" i="5" a="1"/>
  <c r="C4" i="5" a="1"/>
  <c r="C3" i="5" a="1"/>
  <c r="C2" i="5" a="1"/>
  <c r="B37" i="5" a="1"/>
  <c r="B36" i="5" a="1"/>
  <c r="B35" i="5" a="1"/>
  <c r="B34" i="5" a="1"/>
  <c r="B33" i="5" a="1"/>
  <c r="B32" i="5" a="1"/>
  <c r="B31" i="5" a="1"/>
  <c r="B30" i="5" a="1"/>
  <c r="B29" i="5" a="1"/>
  <c r="B28" i="5" a="1"/>
  <c r="B27" i="5" a="1"/>
  <c r="B26" i="5" a="1"/>
  <c r="B25" i="5" a="1"/>
  <c r="B24" i="5" a="1"/>
  <c r="B23" i="5" a="1"/>
  <c r="B22" i="5" a="1"/>
  <c r="B21" i="5" a="1"/>
  <c r="B20" i="5" a="1"/>
  <c r="B19" i="5" a="1"/>
  <c r="B18" i="5" a="1"/>
  <c r="B17" i="5" a="1"/>
  <c r="B16" i="5" a="1"/>
  <c r="B15" i="5" a="1"/>
  <c r="B14" i="5" a="1"/>
  <c r="B13" i="5" a="1"/>
  <c r="B12" i="5" a="1"/>
  <c r="B11" i="5" a="1"/>
  <c r="B10" i="5" a="1"/>
  <c r="B9" i="5" a="1"/>
  <c r="B8" i="5" a="1"/>
  <c r="B7" i="5" a="1"/>
  <c r="B6" i="5" a="1"/>
  <c r="B5" i="5" a="1"/>
  <c r="B4" i="5" a="1"/>
  <c r="B3" i="5" a="1"/>
  <c r="B2" i="5" a="1"/>
  <c r="BW11" i="2"/>
  <c r="CE40" i="2"/>
  <c r="CD40" i="2"/>
  <c r="CC40" i="2"/>
  <c r="CB40" i="2"/>
  <c r="CA40" i="2"/>
  <c r="BZ40" i="2"/>
  <c r="BY40" i="2"/>
  <c r="BX40" i="2"/>
  <c r="CE4" i="2"/>
  <c r="CD4" i="2"/>
  <c r="CC4" i="2"/>
  <c r="CB4" i="2"/>
  <c r="CA4" i="2"/>
  <c r="BZ4" i="2"/>
  <c r="BY4" i="2"/>
  <c r="BX4" i="2"/>
  <c r="CE48" i="2"/>
  <c r="CD48" i="2"/>
  <c r="CC48" i="2"/>
  <c r="CB48" i="2"/>
  <c r="CA48" i="2"/>
  <c r="BZ48" i="2"/>
  <c r="BY48" i="2"/>
  <c r="BX48" i="2"/>
  <c r="CE11" i="2"/>
  <c r="CD11" i="2"/>
  <c r="CC11" i="2"/>
  <c r="CB11" i="2"/>
  <c r="CA11" i="2"/>
  <c r="BZ11" i="2"/>
  <c r="BY11" i="2"/>
  <c r="BX11" i="2"/>
  <c r="CE20" i="2"/>
  <c r="CD20" i="2"/>
  <c r="CC20" i="2"/>
  <c r="CB20" i="2"/>
  <c r="CA20" i="2"/>
  <c r="BZ20" i="2"/>
  <c r="BY20" i="2"/>
  <c r="BX20" i="2"/>
  <c r="CE10" i="2"/>
  <c r="CD10" i="2"/>
  <c r="CC10" i="2"/>
  <c r="CB10" i="2"/>
  <c r="CA10" i="2"/>
  <c r="BZ10" i="2"/>
  <c r="BY10" i="2"/>
  <c r="BX10" i="2"/>
  <c r="CE24" i="2"/>
  <c r="CD24" i="2"/>
  <c r="CC24" i="2"/>
  <c r="CB24" i="2"/>
  <c r="CA24" i="2"/>
  <c r="BZ24" i="2"/>
  <c r="BY24" i="2"/>
  <c r="BX24" i="2"/>
  <c r="CE5" i="2"/>
  <c r="CD5" i="2"/>
  <c r="CC5" i="2"/>
  <c r="CB5" i="2"/>
  <c r="CA5" i="2"/>
  <c r="BZ5" i="2"/>
  <c r="BY5" i="2"/>
  <c r="BX5" i="2"/>
  <c r="CE38" i="2"/>
  <c r="CD38" i="2"/>
  <c r="CC38" i="2"/>
  <c r="CB38" i="2"/>
  <c r="CA38" i="2"/>
  <c r="BZ38" i="2"/>
  <c r="BY38" i="2"/>
  <c r="BX38" i="2"/>
  <c r="CE34" i="2"/>
  <c r="CD34" i="2"/>
  <c r="CC34" i="2"/>
  <c r="CB34" i="2"/>
  <c r="CA34" i="2"/>
  <c r="BZ34" i="2"/>
  <c r="BY34" i="2"/>
  <c r="BX34" i="2"/>
  <c r="CE47" i="2"/>
  <c r="CD47" i="2"/>
  <c r="CC47" i="2"/>
  <c r="CB47" i="2"/>
  <c r="CA47" i="2"/>
  <c r="BZ47" i="2"/>
  <c r="BY47" i="2"/>
  <c r="BX47" i="2"/>
  <c r="CE19" i="2"/>
  <c r="CD19" i="2"/>
  <c r="CC19" i="2"/>
  <c r="CB19" i="2"/>
  <c r="CA19" i="2"/>
  <c r="BZ19" i="2"/>
  <c r="BY19" i="2"/>
  <c r="BX19" i="2"/>
  <c r="CE46" i="2"/>
  <c r="CD46" i="2"/>
  <c r="CC46" i="2"/>
  <c r="CB46" i="2"/>
  <c r="CA46" i="2"/>
  <c r="BZ46" i="2"/>
  <c r="BY46" i="2"/>
  <c r="BX46" i="2"/>
  <c r="CE33" i="2"/>
  <c r="CD33" i="2"/>
  <c r="CC33" i="2"/>
  <c r="CB33" i="2"/>
  <c r="CA33" i="2"/>
  <c r="BZ33" i="2"/>
  <c r="BY33" i="2"/>
  <c r="BX33" i="2"/>
  <c r="CE18" i="2"/>
  <c r="CD18" i="2"/>
  <c r="CC18" i="2"/>
  <c r="CB18" i="2"/>
  <c r="CA18" i="2"/>
  <c r="BZ18" i="2"/>
  <c r="BY18" i="2"/>
  <c r="BX18" i="2"/>
  <c r="CE12" i="2"/>
  <c r="CD12" i="2"/>
  <c r="CC12" i="2"/>
  <c r="CB12" i="2"/>
  <c r="CA12" i="2"/>
  <c r="BZ12" i="2"/>
  <c r="BY12" i="2"/>
  <c r="BX12" i="2"/>
  <c r="CE23" i="2"/>
  <c r="CD23" i="2"/>
  <c r="CC23" i="2"/>
  <c r="CB23" i="2"/>
  <c r="CA23" i="2"/>
  <c r="BZ23" i="2"/>
  <c r="BY23" i="2"/>
  <c r="BX23" i="2"/>
  <c r="CE9" i="2"/>
  <c r="CD9" i="2"/>
  <c r="CC9" i="2"/>
  <c r="CB9" i="2"/>
  <c r="CA9" i="2"/>
  <c r="BZ9" i="2"/>
  <c r="BY9" i="2"/>
  <c r="BX9" i="2"/>
  <c r="CE15" i="2"/>
  <c r="CD15" i="2"/>
  <c r="CC15" i="2"/>
  <c r="CB15" i="2"/>
  <c r="CA15" i="2"/>
  <c r="BZ15" i="2"/>
  <c r="BY15" i="2"/>
  <c r="BX15" i="2"/>
  <c r="BU15" i="2"/>
  <c r="CE45" i="2"/>
  <c r="CD45" i="2"/>
  <c r="CC45" i="2"/>
  <c r="CB45" i="2"/>
  <c r="CA45" i="2"/>
  <c r="BZ45" i="2"/>
  <c r="BY45" i="2"/>
  <c r="BX45" i="2"/>
  <c r="CE26" i="2"/>
  <c r="CD26" i="2"/>
  <c r="CC26" i="2"/>
  <c r="CB26" i="2"/>
  <c r="CA26" i="2"/>
  <c r="BZ26" i="2"/>
  <c r="BY26" i="2"/>
  <c r="BX26" i="2"/>
  <c r="CE32" i="2"/>
  <c r="CD32" i="2"/>
  <c r="CC32" i="2"/>
  <c r="CB32" i="2"/>
  <c r="CA32" i="2"/>
  <c r="BZ32" i="2"/>
  <c r="BY32" i="2"/>
  <c r="BX32" i="2"/>
  <c r="BU32" i="2"/>
  <c r="CE31" i="2"/>
  <c r="CD31" i="2"/>
  <c r="CC31" i="2"/>
  <c r="CB31" i="2"/>
  <c r="CA31" i="2"/>
  <c r="BZ31" i="2"/>
  <c r="BY31" i="2"/>
  <c r="BX31" i="2"/>
  <c r="CE30" i="2"/>
  <c r="CD30" i="2"/>
  <c r="CC30" i="2"/>
  <c r="CB30" i="2"/>
  <c r="CA30" i="2"/>
  <c r="BZ30" i="2"/>
  <c r="BY30" i="2"/>
  <c r="BX30" i="2"/>
  <c r="CE44" i="2"/>
  <c r="CD44" i="2"/>
  <c r="CC44" i="2"/>
  <c r="CB44" i="2"/>
  <c r="CA44" i="2"/>
  <c r="BZ44" i="2"/>
  <c r="BY44" i="2"/>
  <c r="BX44" i="2"/>
  <c r="CE2" i="2"/>
  <c r="CD2" i="2"/>
  <c r="CC2" i="2"/>
  <c r="CB2" i="2"/>
  <c r="CA2" i="2"/>
  <c r="BZ2" i="2"/>
  <c r="BY2" i="2"/>
  <c r="BX2" i="2"/>
  <c r="CE39" i="2"/>
  <c r="CD39" i="2"/>
  <c r="CC39" i="2"/>
  <c r="CB39" i="2"/>
  <c r="CA39" i="2"/>
  <c r="BZ39" i="2"/>
  <c r="BY39" i="2"/>
  <c r="BX39" i="2"/>
  <c r="CE29" i="2"/>
  <c r="CD29" i="2"/>
  <c r="CC29" i="2"/>
  <c r="CB29" i="2"/>
  <c r="CA29" i="2"/>
  <c r="BZ29" i="2"/>
  <c r="BY29" i="2"/>
  <c r="BX29" i="2"/>
  <c r="CE14" i="2"/>
  <c r="CD14" i="2"/>
  <c r="CC14" i="2"/>
  <c r="CB14" i="2"/>
  <c r="CA14" i="2"/>
  <c r="BZ14" i="2"/>
  <c r="BY14" i="2"/>
  <c r="BX14" i="2"/>
  <c r="CE37" i="2"/>
  <c r="CD37" i="2"/>
  <c r="CC37" i="2"/>
  <c r="CB37" i="2"/>
  <c r="CA37" i="2"/>
  <c r="BZ37" i="2"/>
  <c r="BY37" i="2"/>
  <c r="BX37" i="2"/>
  <c r="CE28" i="2"/>
  <c r="CD28" i="2"/>
  <c r="CC28" i="2"/>
  <c r="CB28" i="2"/>
  <c r="CA28" i="2"/>
  <c r="BZ28" i="2"/>
  <c r="BY28" i="2"/>
  <c r="BX28" i="2"/>
  <c r="CE42" i="2"/>
  <c r="CD42" i="2"/>
  <c r="CC42" i="2"/>
  <c r="CB42" i="2"/>
  <c r="CA42" i="2"/>
  <c r="BZ42" i="2"/>
  <c r="BY42" i="2"/>
  <c r="BX42" i="2"/>
  <c r="CE41" i="2"/>
  <c r="CD41" i="2"/>
  <c r="CC41" i="2"/>
  <c r="CB41" i="2"/>
  <c r="CA41" i="2"/>
  <c r="BZ41" i="2"/>
  <c r="BY41" i="2"/>
  <c r="BX41" i="2"/>
  <c r="CE22" i="2"/>
  <c r="CD22" i="2"/>
  <c r="CC22" i="2"/>
  <c r="CB22" i="2"/>
  <c r="CA22" i="2"/>
  <c r="BZ22" i="2"/>
  <c r="BY22" i="2"/>
  <c r="BX22" i="2"/>
  <c r="CE13" i="2"/>
  <c r="CD13" i="2"/>
  <c r="CC13" i="2"/>
  <c r="CB13" i="2"/>
  <c r="CA13" i="2"/>
  <c r="BZ13" i="2"/>
  <c r="BY13" i="2"/>
  <c r="BX13" i="2"/>
  <c r="CE27" i="2"/>
  <c r="CD27" i="2"/>
  <c r="CC27" i="2"/>
  <c r="CB27" i="2"/>
  <c r="CA27" i="2"/>
  <c r="BZ27" i="2"/>
  <c r="BY27" i="2"/>
  <c r="BX27" i="2"/>
  <c r="CE17" i="2"/>
  <c r="CD17" i="2"/>
  <c r="CC17" i="2"/>
  <c r="CB17" i="2"/>
  <c r="CA17" i="2"/>
  <c r="BZ17" i="2"/>
  <c r="BY17" i="2"/>
  <c r="BX17" i="2"/>
  <c r="CE36" i="2"/>
  <c r="CD36" i="2"/>
  <c r="CC36" i="2"/>
  <c r="CB36" i="2"/>
  <c r="CA36" i="2"/>
  <c r="BZ36" i="2"/>
  <c r="BY36" i="2"/>
  <c r="BX36" i="2"/>
  <c r="CE35" i="2"/>
  <c r="CD35" i="2"/>
  <c r="CC35" i="2"/>
  <c r="CB35" i="2"/>
  <c r="CA35" i="2"/>
  <c r="BZ35" i="2"/>
  <c r="BY35" i="2"/>
  <c r="BX35" i="2"/>
  <c r="CE6" i="2"/>
  <c r="CD6" i="2"/>
  <c r="CC6" i="2"/>
  <c r="CB6" i="2"/>
  <c r="CA6" i="2"/>
  <c r="BZ6" i="2"/>
  <c r="BY6" i="2"/>
  <c r="BX6" i="2"/>
  <c r="CE25" i="2"/>
  <c r="CD25" i="2"/>
  <c r="CC25" i="2"/>
  <c r="CB25" i="2"/>
  <c r="CA25" i="2"/>
  <c r="BZ25" i="2"/>
  <c r="BY25" i="2"/>
  <c r="BX25" i="2"/>
  <c r="CE49" i="2"/>
  <c r="CD49" i="2"/>
  <c r="CC49" i="2"/>
  <c r="CB49" i="2"/>
  <c r="CA49" i="2"/>
  <c r="BZ49" i="2"/>
  <c r="BY49" i="2"/>
  <c r="BX49" i="2"/>
  <c r="CE7" i="2"/>
  <c r="CD7" i="2"/>
  <c r="CC7" i="2"/>
  <c r="CB7" i="2"/>
  <c r="CA7" i="2"/>
  <c r="BZ7" i="2"/>
  <c r="BY7" i="2"/>
  <c r="BX7" i="2"/>
  <c r="BW7" i="2"/>
  <c r="CE16" i="2"/>
  <c r="CD16" i="2"/>
  <c r="CC16" i="2"/>
  <c r="CB16" i="2"/>
  <c r="CA16" i="2"/>
  <c r="BZ16" i="2"/>
  <c r="BY16" i="2"/>
  <c r="BX16" i="2"/>
  <c r="CE3" i="2"/>
  <c r="CD3" i="2"/>
  <c r="CC3" i="2"/>
  <c r="CB3" i="2"/>
  <c r="CA3" i="2"/>
  <c r="BZ3" i="2"/>
  <c r="BY3" i="2"/>
  <c r="BX3" i="2"/>
  <c r="CE43" i="2"/>
  <c r="CD43" i="2"/>
  <c r="CC43" i="2"/>
  <c r="CB43" i="2"/>
  <c r="CA43" i="2"/>
  <c r="BZ43" i="2"/>
  <c r="BY43" i="2"/>
  <c r="BX43" i="2"/>
  <c r="CE8" i="2"/>
  <c r="CD8" i="2"/>
  <c r="CC8" i="2"/>
  <c r="CB8" i="2"/>
  <c r="CA8" i="2"/>
  <c r="BZ8" i="2"/>
  <c r="BY8" i="2"/>
  <c r="BX8" i="2"/>
  <c r="CE21" i="2"/>
  <c r="CD21" i="2"/>
  <c r="CC21" i="2"/>
  <c r="CB21" i="2"/>
  <c r="CA21" i="2"/>
  <c r="BZ21" i="2"/>
  <c r="BY21" i="2"/>
  <c r="BX21" i="2"/>
  <c r="BU21" i="2"/>
  <c r="BV15" i="2"/>
  <c r="BW15" i="2"/>
  <c r="BW21" i="2"/>
  <c r="BU44" i="2"/>
  <c r="BV44" i="2"/>
  <c r="BV21" i="2"/>
  <c r="BV32" i="2"/>
  <c r="BW41" i="2"/>
  <c r="BU29" i="2"/>
  <c r="BW34" i="2"/>
  <c r="BV25" i="2"/>
  <c r="BU16" i="2"/>
  <c r="BU28" i="2"/>
  <c r="BU46" i="2"/>
  <c r="BV22" i="2"/>
  <c r="BV40" i="2"/>
  <c r="BW22" i="2"/>
  <c r="BW26" i="2"/>
  <c r="BW24" i="2"/>
  <c r="BU8" i="2"/>
  <c r="BU17" i="2"/>
  <c r="BW17" i="2"/>
  <c r="BU40" i="2"/>
  <c r="BU14" i="2"/>
  <c r="BW2" i="2"/>
  <c r="BV49" i="2"/>
  <c r="BW23" i="2"/>
  <c r="BU47" i="2"/>
  <c r="BU35" i="2"/>
  <c r="BV33" i="2"/>
  <c r="BU36" i="2"/>
  <c r="BV2" i="2"/>
  <c r="BW36" i="2"/>
  <c r="BU5" i="2"/>
  <c r="BV31" i="2"/>
  <c r="BU33" i="2"/>
  <c r="BV5" i="2"/>
  <c r="BW49" i="2"/>
  <c r="BU43" i="2"/>
  <c r="BV35" i="2"/>
  <c r="BW25" i="2"/>
  <c r="BV36" i="2"/>
  <c r="BU3" i="2"/>
  <c r="BV14" i="2"/>
  <c r="BU31" i="2"/>
  <c r="BV43" i="2"/>
  <c r="BU7" i="2"/>
  <c r="BU37" i="2"/>
  <c r="BU39" i="2"/>
  <c r="BU18" i="2"/>
  <c r="BU10" i="2"/>
  <c r="BV48" i="2"/>
  <c r="BV20" i="2"/>
  <c r="BW43" i="2"/>
  <c r="BV7" i="2"/>
  <c r="BW27" i="2"/>
  <c r="BU41" i="2"/>
  <c r="BV30" i="2"/>
  <c r="BV18" i="2"/>
  <c r="BW38" i="2"/>
  <c r="BW48" i="2"/>
  <c r="BU20" i="2"/>
  <c r="BW9" i="2"/>
  <c r="BW18" i="2"/>
  <c r="BV19" i="2"/>
  <c r="BV8" i="2"/>
  <c r="BV6" i="2"/>
  <c r="BW8" i="2"/>
  <c r="BU22" i="2"/>
  <c r="BV11" i="2"/>
  <c r="BW19" i="2"/>
  <c r="BW20" i="2"/>
  <c r="BV16" i="2"/>
  <c r="BW35" i="2"/>
  <c r="BW13" i="2"/>
  <c r="BV28" i="2"/>
  <c r="BW39" i="2"/>
  <c r="BW31" i="2"/>
  <c r="BU45" i="2"/>
  <c r="BU38" i="2"/>
  <c r="BW16" i="2"/>
  <c r="BU6" i="2"/>
  <c r="BW28" i="2"/>
  <c r="BU30" i="2"/>
  <c r="BW30" i="2"/>
  <c r="BV45" i="2"/>
  <c r="BW6" i="2"/>
  <c r="BU27" i="2"/>
  <c r="BV42" i="2"/>
  <c r="BV29" i="2"/>
  <c r="BU23" i="2"/>
  <c r="BW46" i="2"/>
  <c r="BU34" i="2"/>
  <c r="BV10" i="2"/>
  <c r="BV3" i="2"/>
  <c r="BW3" i="2"/>
  <c r="BU25" i="2"/>
  <c r="BV27" i="2"/>
  <c r="BW42" i="2"/>
  <c r="BW29" i="2"/>
  <c r="BV23" i="2"/>
  <c r="BV34" i="2"/>
  <c r="BU48" i="2"/>
  <c r="BU49" i="2"/>
  <c r="BV17" i="2"/>
  <c r="BV41" i="2"/>
  <c r="BW14" i="2"/>
  <c r="BV9" i="2"/>
  <c r="BW33" i="2"/>
  <c r="BW45" i="2"/>
  <c r="BU12" i="2"/>
  <c r="BV47" i="2"/>
  <c r="BW10" i="2"/>
  <c r="BU4" i="2"/>
  <c r="BW40" i="2"/>
  <c r="BU13" i="2"/>
  <c r="BV37" i="2"/>
  <c r="BW44" i="2"/>
  <c r="BU26" i="2"/>
  <c r="BV12" i="2"/>
  <c r="BW47" i="2"/>
  <c r="BU24" i="2"/>
  <c r="BV4" i="2"/>
  <c r="BV13" i="2"/>
  <c r="BW37" i="2"/>
  <c r="BU2" i="2"/>
  <c r="BV26" i="2"/>
  <c r="BW12" i="2"/>
  <c r="BU19" i="2"/>
  <c r="BV24" i="2"/>
  <c r="BW4" i="2"/>
  <c r="BU42" i="2"/>
  <c r="BV39" i="2"/>
  <c r="BW32" i="2"/>
  <c r="BU9" i="2"/>
  <c r="BV46" i="2"/>
  <c r="BW5" i="2"/>
  <c r="BU11" i="2"/>
  <c r="CF33" i="2"/>
  <c r="CF5" i="2"/>
  <c r="CF23" i="2"/>
  <c r="CF31" i="2"/>
  <c r="CF17" i="2"/>
  <c r="CF34" i="2"/>
  <c r="CF3" i="2"/>
  <c r="CF8" i="2"/>
  <c r="CF28" i="2"/>
  <c r="CF2" i="2"/>
  <c r="CF20" i="2"/>
  <c r="CF46" i="2"/>
  <c r="CF32" i="2"/>
  <c r="CF26" i="2"/>
  <c r="CF48" i="2"/>
  <c r="CF19" i="2"/>
  <c r="CF30" i="2"/>
  <c r="CF42" i="2"/>
  <c r="CF10" i="2"/>
  <c r="CF37" i="2"/>
  <c r="CF45" i="2"/>
  <c r="CF36" i="2"/>
  <c r="CF15" i="2"/>
  <c r="CF9" i="2"/>
  <c r="CF43" i="2"/>
  <c r="CF35" i="2"/>
  <c r="CF44" i="2"/>
  <c r="CF16" i="2"/>
  <c r="CF47" i="2"/>
  <c r="CF11" i="2"/>
  <c r="CF49" i="2"/>
  <c r="CF13" i="2"/>
  <c r="CF29" i="2"/>
  <c r="CF12" i="2"/>
  <c r="CF38" i="2"/>
  <c r="CF4" i="2"/>
  <c r="CF6" i="2"/>
  <c r="CF41" i="2"/>
  <c r="CF24" i="2"/>
  <c r="CF7" i="2"/>
  <c r="CF27" i="2"/>
  <c r="CF21" i="2"/>
  <c r="CF25" i="2"/>
  <c r="CF22" i="2"/>
  <c r="CF39" i="2"/>
  <c r="CF18" i="2"/>
  <c r="CF40" i="2"/>
  <c r="B37" i="5"/>
  <c r="B36" i="5"/>
  <c r="B35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CF1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<sst xmlns="http://schemas.openxmlformats.org/spreadsheetml/2006/main" count="3913" uniqueCount="308">
  <si>
    <t>Participants</t>
  </si>
  <si>
    <t>Departament</t>
  </si>
  <si>
    <t>Grup A 1r</t>
  </si>
  <si>
    <t>Grup B 1r</t>
  </si>
  <si>
    <t>Grup C 1r</t>
  </si>
  <si>
    <t>Grup D 1r</t>
  </si>
  <si>
    <t>Grup E 1r</t>
  </si>
  <si>
    <t>Grup F 1r</t>
  </si>
  <si>
    <t>Grup G 1r</t>
  </si>
  <si>
    <t>Grup H 1r</t>
  </si>
  <si>
    <t>Grup I 1r</t>
  </si>
  <si>
    <t>Grup J 1r</t>
  </si>
  <si>
    <t>Grup K 1r</t>
  </si>
  <si>
    <t>Grup L 1r</t>
  </si>
  <si>
    <t>Grup A 2n</t>
  </si>
  <si>
    <t>Grup B 2n</t>
  </si>
  <si>
    <t>Grup C 2n</t>
  </si>
  <si>
    <t>Grup D 2n</t>
  </si>
  <si>
    <t>Grup E 2n</t>
  </si>
  <si>
    <t>Grup F 2n</t>
  </si>
  <si>
    <t>Grup G 2n</t>
  </si>
  <si>
    <t>Grup H 2n</t>
  </si>
  <si>
    <t>Grup I 2n</t>
  </si>
  <si>
    <t>Grup J 2n</t>
  </si>
  <si>
    <t>Grup K 2n</t>
  </si>
  <si>
    <t>Grup L 2n</t>
  </si>
  <si>
    <t>Grup A 3r</t>
  </si>
  <si>
    <t>Grup B 3r</t>
  </si>
  <si>
    <t>Grup C 3r</t>
  </si>
  <si>
    <t>Grup D 3r</t>
  </si>
  <si>
    <t>Grup E 3r</t>
  </si>
  <si>
    <t>Grup F 3r</t>
  </si>
  <si>
    <t>Grup G 3r</t>
  </si>
  <si>
    <t>Grup H 3r</t>
  </si>
  <si>
    <t>Grup I 3r</t>
  </si>
  <si>
    <t>Grup J 3r</t>
  </si>
  <si>
    <t>Grup K 3r</t>
  </si>
  <si>
    <t>Grup L 3r</t>
  </si>
  <si>
    <t>Vuitens_1</t>
  </si>
  <si>
    <t>Vuitens_2</t>
  </si>
  <si>
    <t>Vuitens_3</t>
  </si>
  <si>
    <t>Vuitens_4</t>
  </si>
  <si>
    <t>Vuitens_5</t>
  </si>
  <si>
    <t>Vuitens_6</t>
  </si>
  <si>
    <t>Vuitens_7</t>
  </si>
  <si>
    <t>Vuitens_8</t>
  </si>
  <si>
    <t>Vuitens_9</t>
  </si>
  <si>
    <t>Vuitens_10</t>
  </si>
  <si>
    <t>Vuitens_11</t>
  </si>
  <si>
    <t>Vuitens_12</t>
  </si>
  <si>
    <t>Vuitens_13</t>
  </si>
  <si>
    <t>Vuitens_14</t>
  </si>
  <si>
    <t>Vuitens_15</t>
  </si>
  <si>
    <t>Vuitens_16</t>
  </si>
  <si>
    <t>Quarts_1</t>
  </si>
  <si>
    <t>Quarts_2</t>
  </si>
  <si>
    <t>Quarts_3</t>
  </si>
  <si>
    <t>Quarts_4</t>
  </si>
  <si>
    <t>Quarts_5</t>
  </si>
  <si>
    <t>Quarts_6</t>
  </si>
  <si>
    <t>Quarts_7</t>
  </si>
  <si>
    <t>Quarts_8</t>
  </si>
  <si>
    <t>Semis_1</t>
  </si>
  <si>
    <t>Semis_2</t>
  </si>
  <si>
    <t>Semis_3</t>
  </si>
  <si>
    <t>Semis_4</t>
  </si>
  <si>
    <t>Final_1</t>
  </si>
  <si>
    <t>Final_2</t>
  </si>
  <si>
    <t>Campió</t>
  </si>
  <si>
    <t>Resultat final</t>
  </si>
  <si>
    <t>MVP</t>
  </si>
  <si>
    <t>Pichichi</t>
  </si>
  <si>
    <t>Punts Grups 1r</t>
  </si>
  <si>
    <t>Punts Grups 2n</t>
  </si>
  <si>
    <t>Punts Grups 3r</t>
  </si>
  <si>
    <t>Punts Vuitens</t>
  </si>
  <si>
    <t>Punts Quarts</t>
  </si>
  <si>
    <t>Punts Semis</t>
  </si>
  <si>
    <t>Punts Finalistes</t>
  </si>
  <si>
    <t>Punts Campió</t>
  </si>
  <si>
    <t>Punts MVP</t>
  </si>
  <si>
    <t>Punts Pichichi</t>
  </si>
  <si>
    <t>Resultat Final</t>
  </si>
  <si>
    <t>Total Punts</t>
  </si>
  <si>
    <t>David Rodriguez</t>
  </si>
  <si>
    <t>Manteniment</t>
  </si>
  <si>
    <t>Mèxic</t>
  </si>
  <si>
    <t>Suïssa</t>
  </si>
  <si>
    <t>Brasil</t>
  </si>
  <si>
    <t>Estats Units</t>
  </si>
  <si>
    <t>Alemanya</t>
  </si>
  <si>
    <t>Països Baixos</t>
  </si>
  <si>
    <t>Bèlgica</t>
  </si>
  <si>
    <t>Espanya</t>
  </si>
  <si>
    <t>França</t>
  </si>
  <si>
    <t>Argentina</t>
  </si>
  <si>
    <t>Portugal</t>
  </si>
  <si>
    <t>Anglaterra</t>
  </si>
  <si>
    <t>Corea del Sud</t>
  </si>
  <si>
    <t>Canadà</t>
  </si>
  <si>
    <t>Marroc</t>
  </si>
  <si>
    <t>Turquia</t>
  </si>
  <si>
    <t>Equador</t>
  </si>
  <si>
    <t>Suècia</t>
  </si>
  <si>
    <t>Egipte</t>
  </si>
  <si>
    <t>Uruguai</t>
  </si>
  <si>
    <t>Senegal</t>
  </si>
  <si>
    <t>Àustria</t>
  </si>
  <si>
    <t>Colòmbia</t>
  </si>
  <si>
    <t>Croàcia</t>
  </si>
  <si>
    <t>República Txeca</t>
  </si>
  <si>
    <t>Escòcia</t>
  </si>
  <si>
    <t>Paraguai</t>
  </si>
  <si>
    <t>Costa d'Ivori</t>
  </si>
  <si>
    <t>Japó</t>
  </si>
  <si>
    <t>Iran</t>
  </si>
  <si>
    <t>Aràbia Saudita</t>
  </si>
  <si>
    <t>Noruega</t>
  </si>
  <si>
    <t>Algèria</t>
  </si>
  <si>
    <t>Uzbekistan</t>
  </si>
  <si>
    <t>Ghana</t>
  </si>
  <si>
    <t>Lamine Yamal</t>
  </si>
  <si>
    <t>Mikel Oyarzabal</t>
  </si>
  <si>
    <t>Xavier Llopis</t>
  </si>
  <si>
    <t>Direcció</t>
  </si>
  <si>
    <t>Qatar</t>
  </si>
  <si>
    <t>Austràlia</t>
  </si>
  <si>
    <t>RD Congo</t>
  </si>
  <si>
    <t>Kylian Mbappé</t>
  </si>
  <si>
    <t>Maite Regueiro</t>
  </si>
  <si>
    <t>Sud-àfrica</t>
  </si>
  <si>
    <t>Tunísia</t>
  </si>
  <si>
    <t>Rodri</t>
  </si>
  <si>
    <t>Nico Williams</t>
  </si>
  <si>
    <t>Marc Llopis</t>
  </si>
  <si>
    <t>Obres</t>
  </si>
  <si>
    <t>Veronica Tito - Biel Ros</t>
  </si>
  <si>
    <t>Sonia Gallardo</t>
  </si>
  <si>
    <t>Nova Zelanda</t>
  </si>
  <si>
    <t>Agustina Etcheverry</t>
  </si>
  <si>
    <t>I+D</t>
  </si>
  <si>
    <t>Curaçao</t>
  </si>
  <si>
    <t>Cap Verd</t>
  </si>
  <si>
    <t>Jordània</t>
  </si>
  <si>
    <t>Panamà</t>
  </si>
  <si>
    <t>Julián Álvarez</t>
  </si>
  <si>
    <t>Brenda Rubinich</t>
  </si>
  <si>
    <t>Compres</t>
  </si>
  <si>
    <t>1-3</t>
  </si>
  <si>
    <t>David Dominguez</t>
  </si>
  <si>
    <t>Pedri</t>
  </si>
  <si>
    <t>Patricia Gonzalez</t>
  </si>
  <si>
    <t>Jessica Guimera Rodri­guez</t>
  </si>
  <si>
    <t>Adria Hernandez</t>
  </si>
  <si>
    <t>Harry Kane</t>
  </si>
  <si>
    <t>Lena Riubrugent</t>
  </si>
  <si>
    <t>Agustin Mo</t>
  </si>
  <si>
    <t>Lionel Messi</t>
  </si>
  <si>
    <t>Vero Rodriguez</t>
  </si>
  <si>
    <t>Natalia Kotova</t>
  </si>
  <si>
    <t>Raphinha</t>
  </si>
  <si>
    <t>Erling Haaland</t>
  </si>
  <si>
    <t>Vanesa Victoria</t>
  </si>
  <si>
    <t>Estudis</t>
  </si>
  <si>
    <t>2-0</t>
  </si>
  <si>
    <t>Vinicius Agnelli Panzetti</t>
  </si>
  <si>
    <t>Vinícius Júnior</t>
  </si>
  <si>
    <t>Cristina Corominas</t>
  </si>
  <si>
    <t>Elena Marcos</t>
  </si>
  <si>
    <t>Enrique Cuevas</t>
  </si>
  <si>
    <t>Haití</t>
  </si>
  <si>
    <t>Marina Sorinas</t>
  </si>
  <si>
    <t>Administració</t>
  </si>
  <si>
    <t>Rhandy Sosa</t>
  </si>
  <si>
    <t>Sandra Vicent</t>
  </si>
  <si>
    <t>David Sanchez Ortega</t>
  </si>
  <si>
    <t>2026-01-02</t>
  </si>
  <si>
    <t>Karen Flores</t>
  </si>
  <si>
    <t>Raul Gomez</t>
  </si>
  <si>
    <t>Doué</t>
  </si>
  <si>
    <t>Susana Ortega Lizandra</t>
  </si>
  <si>
    <t>Sergio Mata Diez</t>
  </si>
  <si>
    <t>Bégica</t>
  </si>
  <si>
    <t>Anabel Linares</t>
  </si>
  <si>
    <t>Francisco Jose Lopez Cruz</t>
  </si>
  <si>
    <t>2026-02-01</t>
  </si>
  <si>
    <t>Sergio Mata Gonzalez</t>
  </si>
  <si>
    <t>2026-01-03</t>
  </si>
  <si>
    <t>Michael Morao</t>
  </si>
  <si>
    <t>2026-02-03</t>
  </si>
  <si>
    <t>Adrian Escribano</t>
  </si>
  <si>
    <t>Marc Serra</t>
  </si>
  <si>
    <t>Javier Gomez Reina</t>
  </si>
  <si>
    <t>Vitinha</t>
  </si>
  <si>
    <t>Endrick</t>
  </si>
  <si>
    <t>Tamara Gomez</t>
  </si>
  <si>
    <t>Pasïsos Baixos</t>
  </si>
  <si>
    <t>Gerard Garcia Arias</t>
  </si>
  <si>
    <t>EE.UU</t>
  </si>
  <si>
    <t>2026-02-02</t>
  </si>
  <si>
    <t>Sørloth</t>
  </si>
  <si>
    <t>Juan Busquets Sanroma</t>
  </si>
  <si>
    <t>Tomas Florian</t>
  </si>
  <si>
    <t>republica checa</t>
  </si>
  <si>
    <t>Blanca Estela Corona Ruiz</t>
  </si>
  <si>
    <t>Montse Revilla</t>
  </si>
  <si>
    <t>cote d'ivoire</t>
  </si>
  <si>
    <t>Lucia Gonzalez Corazza</t>
  </si>
  <si>
    <t>Maria Costa</t>
  </si>
  <si>
    <t>Bernabe Ferreres Lopez</t>
  </si>
  <si>
    <t>2026-04-03</t>
  </si>
  <si>
    <t>Ferran Torres</t>
  </si>
  <si>
    <t>Gerard Royes Valeri</t>
  </si>
  <si>
    <t>Anthony Romero</t>
  </si>
  <si>
    <t>Edgar Argemí</t>
  </si>
  <si>
    <t>3-1</t>
  </si>
  <si>
    <t>Grup</t>
  </si>
  <si>
    <t>Posició</t>
  </si>
  <si>
    <t>Equip</t>
  </si>
  <si>
    <t>Setzens</t>
  </si>
  <si>
    <t>Vuitens</t>
  </si>
  <si>
    <t>Quarts</t>
  </si>
  <si>
    <t>Semis</t>
  </si>
  <si>
    <t>Finalistes</t>
  </si>
  <si>
    <t>Jugador Pichichi</t>
  </si>
  <si>
    <t>Gols</t>
  </si>
  <si>
    <t>Grup A</t>
  </si>
  <si>
    <t>1r</t>
  </si>
  <si>
    <t>Pendent</t>
  </si>
  <si>
    <t>2n</t>
  </si>
  <si>
    <t>3r</t>
  </si>
  <si>
    <t>Grup B</t>
  </si>
  <si>
    <t>Grup C</t>
  </si>
  <si>
    <t>Grup D</t>
  </si>
  <si>
    <t>Grup E</t>
  </si>
  <si>
    <t>Grup F</t>
  </si>
  <si>
    <t>Grup G</t>
  </si>
  <si>
    <t>Grup H</t>
  </si>
  <si>
    <t>Grup I</t>
  </si>
  <si>
    <t>Grup J</t>
  </si>
  <si>
    <t>Grup K</t>
  </si>
  <si>
    <t>Grup L</t>
  </si>
  <si>
    <t>Participant</t>
  </si>
  <si>
    <t>Punts</t>
  </si>
  <si>
    <t>Total general</t>
  </si>
  <si>
    <t>Bòsnia i Hercegovina</t>
  </si>
  <si>
    <t>Verificació Països Grups</t>
  </si>
  <si>
    <t>Verificació setzens</t>
  </si>
  <si>
    <t>Fase</t>
  </si>
  <si>
    <t>Partit</t>
  </si>
  <si>
    <t>Data</t>
  </si>
  <si>
    <t>Hora</t>
  </si>
  <si>
    <t>Resultat</t>
  </si>
  <si>
    <t>0-1</t>
  </si>
  <si>
    <t>Sud-àfrica vs Canadà</t>
  </si>
  <si>
    <t>Brasil vs Japó</t>
  </si>
  <si>
    <t>Alemanya vs Paraguai</t>
  </si>
  <si>
    <t>Països Baixos vs Marroc</t>
  </si>
  <si>
    <t>Costa d'Ivori vs Noruega</t>
  </si>
  <si>
    <t>França vs Suècia</t>
  </si>
  <si>
    <t>Mèxic vs Equador</t>
  </si>
  <si>
    <t>Anglaterra vs RD Congo</t>
  </si>
  <si>
    <t>Bèlgica vs Senegal</t>
  </si>
  <si>
    <t>Estats Units vs Bòsnia i Hercegovina</t>
  </si>
  <si>
    <t>Espanya vs Àustria</t>
  </si>
  <si>
    <t>Portugal vs Croàcia</t>
  </si>
  <si>
    <t>Suïssa vs Pendent de confirmació</t>
  </si>
  <si>
    <t>Austràlia vs Egipte</t>
  </si>
  <si>
    <t>Argentina vs Cap Verd</t>
  </si>
  <si>
    <t>Colòmbia vs Ghana</t>
  </si>
  <si>
    <t xml:space="preserve">Setzens de final </t>
  </si>
  <si>
    <t>2-1</t>
  </si>
  <si>
    <t>1(3)-1(4)</t>
  </si>
  <si>
    <t>1(2)-1(3)</t>
  </si>
  <si>
    <t>1-2</t>
  </si>
  <si>
    <t>3-0</t>
  </si>
  <si>
    <t>3-2</t>
  </si>
  <si>
    <t>1(2)-1(4)</t>
  </si>
  <si>
    <t>1-0</t>
  </si>
  <si>
    <t>Vuitens de final</t>
  </si>
  <si>
    <t>Portugal vs. Espanya</t>
  </si>
  <si>
    <t>21:00h</t>
  </si>
  <si>
    <t>Argentina vs. Egipte</t>
  </si>
  <si>
    <t>Suïssa vs. Colòmbia</t>
  </si>
  <si>
    <t>Quarts de final</t>
  </si>
  <si>
    <t>França vs. Marroc</t>
  </si>
  <si>
    <t>Noruega vs. Anglaterra</t>
  </si>
  <si>
    <t>Canadà vs. Marroc</t>
  </si>
  <si>
    <t>Finalitzat</t>
  </si>
  <si>
    <t>0 - 3</t>
  </si>
  <si>
    <t>Paraguai vs. França</t>
  </si>
  <si>
    <t>0 - 1</t>
  </si>
  <si>
    <t>Brasil vs. Noruega</t>
  </si>
  <si>
    <t>Mèxic vs. Anglaterra</t>
  </si>
  <si>
    <t>2-3</t>
  </si>
  <si>
    <t>Estats Units vs. Bèlgica</t>
  </si>
  <si>
    <t>Espanya vs. Bèlgica</t>
  </si>
  <si>
    <t>1-4</t>
  </si>
  <si>
    <t>0(4)-0(3)</t>
  </si>
  <si>
    <t>Argentina vs Suïssa</t>
  </si>
  <si>
    <t>Semifinal</t>
  </si>
  <si>
    <t>França vs Espanya</t>
  </si>
  <si>
    <t>Anglaterra vs Argentina</t>
  </si>
  <si>
    <t>0-2</t>
  </si>
  <si>
    <t>Tercera posició</t>
  </si>
  <si>
    <t>Final</t>
  </si>
  <si>
    <t>23:00h</t>
  </si>
  <si>
    <t>Pendent rivals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</si>
</sst>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FFFFFF"/>
      <name val="Arial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595959"/>
      </patternFill>
    </fill>
    <fill>
      <patternFill patternType="solid">
        <fgColor rgb="FF2E75B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3" borderId="0" xfId="0" applyFont="1" applyFill="1"/>
    <xf numFmtId="0" fontId="2" fillId="4" borderId="0" xfId="0" applyFont="1" applyFill="1"/>
    <xf numFmtId="49" fontId="0" fillId="0" borderId="0" xfId="0" applyNumberFormat="1"/>
    <xf numFmtId="0" fontId="0" fillId="5" borderId="0" xfId="0" applyFill="1"/>
    <xf numFmtId="0" fontId="2" fillId="6" borderId="0" xfId="0" applyFont="1" applyFill="1"/>
    <xf numFmtId="49" fontId="2" fillId="3" borderId="0" xfId="0" applyNumberFormat="1" applyFont="1" applyFill="1"/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/>
    </xf>
    <xf numFmtId="0" fontId="3" fillId="0" borderId="1" xfId="0" applyFont="1" applyBorder="1"/>
    <xf numFmtId="0" fontId="0" fillId="7" borderId="2" xfId="0" applyFill="1" applyBorder="1"/>
    <xf numFmtId="0" fontId="1" fillId="8" borderId="0" xfId="0" applyFont="1" applyFill="1" applyAlignment="1">
      <alignment horizontal="center"/>
    </xf>
    <xf numFmtId="0" fontId="0" fillId="9" borderId="1" xfId="0" applyFill="1" applyBorder="1"/>
    <xf numFmtId="0" fontId="3" fillId="9" borderId="1" xfId="0" applyFont="1" applyFill="1" applyBorder="1"/>
    <xf numFmtId="0" fontId="0" fillId="10" borderId="2" xfId="0" applyFill="1" applyBorder="1"/>
    <xf numFmtId="0" fontId="0" fillId="11" borderId="0" xfId="0" applyFill="1" applyAlignment="1">
      <alignment horizontal="center"/>
    </xf>
    <xf numFmtId="14" fontId="0" fillId="0" borderId="0" xfId="0" applyNumberFormat="1"/>
    <xf numFmtId="0" fontId="0" fillId="0" borderId="0" xfId="0" quotePrefix="1"/>
    <xf numFmtId="16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 Llopis" refreshedDate="46205.597483449077" createdVersion="8" refreshedVersion="8" minRefreshableVersion="3" recordCount="48" xr:uid="{00000000-000A-0000-FFFF-FFFF00000000}">
  <cacheSource type="worksheet">
    <worksheetSource ref="A1:CF49" sheet="Porra"/>
  </cacheSource>
  <cacheFields count="84">
    <cacheField name="Participants" numFmtId="0">
      <sharedItems count="54">
        <s v="Rhandy Sosa"/>
        <s v="Marc Llopis"/>
        <s v="Anthony Romero"/>
        <s v="Blanca Estela Corona Ruiz"/>
        <s v="David Dominguez"/>
        <s v="Sonia Gallardo"/>
        <s v="Xavier Llopis"/>
        <s v="Francisco Jose Lopez Cruz"/>
        <s v="Lucia Gonzalez Corazza"/>
        <s v="Bernabe Ferreres Lopez"/>
        <s v="Michael Morao"/>
        <s v="Agustin Mo"/>
        <s v="Elena Marcos"/>
        <s v="Anabel Linares"/>
        <s v="Veronica Tito - Biel Ros"/>
        <s v="Adria Hernandez"/>
        <s v="Adrian Escribano"/>
        <s v="Tamara Gomez"/>
        <s v="Maria Costa"/>
        <s v="David Rodriguez"/>
        <s v="Vero Rodriguez"/>
        <s v="Sergio Mata Gonzalez"/>
        <s v="Montse Revilla"/>
        <s v="Brenda Rubinich"/>
        <s v="Susana Ortega Lizandra"/>
        <s v="Lena Riubrugent"/>
        <s v="Vinicius Agnelli Panzetti"/>
        <s v="Enrique Cuevas"/>
        <s v="David Sanchez Ortega"/>
        <s v="Karen Flores"/>
        <s v="Raul Gomez"/>
        <s v="Marc Serra"/>
        <s v="Juan Busquets Sanroma"/>
        <s v="Patricia Gonzalez"/>
        <s v="Jessica Guimera Rodri­guez"/>
        <s v="Cristina Corominas"/>
        <s v="Tomas Florian"/>
        <s v="Marina Sorinas"/>
        <s v="Edgar Argemí"/>
        <s v="Natalia Kotova"/>
        <s v="Vanesa Victoria"/>
        <s v="Maite Regueiro"/>
        <s v="Sandra Vicent"/>
        <s v="Sergio Mata Diez"/>
        <s v="Javier Gomez Reina"/>
        <s v="Gerard Garcia Arias"/>
        <s v="Gerard Royes Valeri"/>
        <s v="Agustina Etcheverry"/>
        <s v="Lena" u="1"/>
        <s v="Vero" u="1"/>
        <s v="Vanesa" u="1"/>
        <s v="Marina" u="1"/>
        <s v="Sandra" u="1"/>
        <s v="Anabel" u="1"/>
      </sharedItems>
    </cacheField>
    <cacheField name="Departament" numFmtId="0">
      <sharedItems/>
    </cacheField>
    <cacheField name="Grup A 1r" numFmtId="0">
      <sharedItems/>
    </cacheField>
    <cacheField name="Grup B 1r" numFmtId="0">
      <sharedItems/>
    </cacheField>
    <cacheField name="Grup C 1r" numFmtId="0">
      <sharedItems/>
    </cacheField>
    <cacheField name="Grup D 1r" numFmtId="0">
      <sharedItems/>
    </cacheField>
    <cacheField name="Grup E 1r" numFmtId="0">
      <sharedItems/>
    </cacheField>
    <cacheField name="Grup F 1r" numFmtId="0">
      <sharedItems/>
    </cacheField>
    <cacheField name="Grup G 1r" numFmtId="0">
      <sharedItems/>
    </cacheField>
    <cacheField name="Grup H 1r" numFmtId="0">
      <sharedItems/>
    </cacheField>
    <cacheField name="Grup I 1r" numFmtId="0">
      <sharedItems/>
    </cacheField>
    <cacheField name="Grup J 1r" numFmtId="0">
      <sharedItems/>
    </cacheField>
    <cacheField name="Grup K 1r" numFmtId="0">
      <sharedItems/>
    </cacheField>
    <cacheField name="Grup L 1r" numFmtId="0">
      <sharedItems/>
    </cacheField>
    <cacheField name="Grup A 2n" numFmtId="0">
      <sharedItems/>
    </cacheField>
    <cacheField name="Grup B 2n" numFmtId="0">
      <sharedItems/>
    </cacheField>
    <cacheField name="Grup C 2n" numFmtId="0">
      <sharedItems/>
    </cacheField>
    <cacheField name="Grup D 2n" numFmtId="0">
      <sharedItems/>
    </cacheField>
    <cacheField name="Grup E 2n" numFmtId="0">
      <sharedItems/>
    </cacheField>
    <cacheField name="Grup F 2n" numFmtId="0">
      <sharedItems/>
    </cacheField>
    <cacheField name="Grup G 2n" numFmtId="0">
      <sharedItems/>
    </cacheField>
    <cacheField name="Grup H 2n" numFmtId="0">
      <sharedItems/>
    </cacheField>
    <cacheField name="Grup I 2n" numFmtId="0">
      <sharedItems/>
    </cacheField>
    <cacheField name="Grup J 2n" numFmtId="0">
      <sharedItems/>
    </cacheField>
    <cacheField name="Grup K 2n" numFmtId="0">
      <sharedItems/>
    </cacheField>
    <cacheField name="Grup L 2n" numFmtId="0">
      <sharedItems/>
    </cacheField>
    <cacheField name="Grup A 3r" numFmtId="0">
      <sharedItems/>
    </cacheField>
    <cacheField name="Grup B 3r" numFmtId="0">
      <sharedItems/>
    </cacheField>
    <cacheField name="Grup C 3r" numFmtId="0">
      <sharedItems/>
    </cacheField>
    <cacheField name="Grup D 3r" numFmtId="0">
      <sharedItems/>
    </cacheField>
    <cacheField name="Grup E 3r" numFmtId="0">
      <sharedItems/>
    </cacheField>
    <cacheField name="Grup F 3r" numFmtId="0">
      <sharedItems/>
    </cacheField>
    <cacheField name="Grup G 3r" numFmtId="0">
      <sharedItems/>
    </cacheField>
    <cacheField name="Grup H 3r" numFmtId="0">
      <sharedItems/>
    </cacheField>
    <cacheField name="Grup I 3r" numFmtId="0">
      <sharedItems/>
    </cacheField>
    <cacheField name="Grup J 3r" numFmtId="0">
      <sharedItems/>
    </cacheField>
    <cacheField name="Grup K 3r" numFmtId="0">
      <sharedItems/>
    </cacheField>
    <cacheField name="Grup L 3r" numFmtId="0">
      <sharedItems/>
    </cacheField>
    <cacheField name="Vuitens_1" numFmtId="0">
      <sharedItems/>
    </cacheField>
    <cacheField name="Vuitens_2" numFmtId="0">
      <sharedItems/>
    </cacheField>
    <cacheField name="Vuitens_3" numFmtId="0">
      <sharedItems/>
    </cacheField>
    <cacheField name="Vuitens_4" numFmtId="0">
      <sharedItems/>
    </cacheField>
    <cacheField name="Vuitens_5" numFmtId="0">
      <sharedItems/>
    </cacheField>
    <cacheField name="Vuitens_6" numFmtId="0">
      <sharedItems/>
    </cacheField>
    <cacheField name="Vuitens_7" numFmtId="0">
      <sharedItems/>
    </cacheField>
    <cacheField name="Vuitens_8" numFmtId="0">
      <sharedItems/>
    </cacheField>
    <cacheField name="Vuitens_9" numFmtId="0">
      <sharedItems/>
    </cacheField>
    <cacheField name="Vuitens_10" numFmtId="0">
      <sharedItems/>
    </cacheField>
    <cacheField name="Vuitens_11" numFmtId="0">
      <sharedItems/>
    </cacheField>
    <cacheField name="Vuitens_12" numFmtId="0">
      <sharedItems/>
    </cacheField>
    <cacheField name="Vuitens_13" numFmtId="0">
      <sharedItems/>
    </cacheField>
    <cacheField name="Vuitens_14" numFmtId="0">
      <sharedItems/>
    </cacheField>
    <cacheField name="Vuitens_15" numFmtId="0">
      <sharedItems/>
    </cacheField>
    <cacheField name="Vuitens_16" numFmtId="0">
      <sharedItems/>
    </cacheField>
    <cacheField name="Quarts_1" numFmtId="0">
      <sharedItems/>
    </cacheField>
    <cacheField name="Quarts_2" numFmtId="0">
      <sharedItems/>
    </cacheField>
    <cacheField name="Quarts_3" numFmtId="0">
      <sharedItems/>
    </cacheField>
    <cacheField name="Quarts_4" numFmtId="0">
      <sharedItems/>
    </cacheField>
    <cacheField name="Quarts_5" numFmtId="0">
      <sharedItems/>
    </cacheField>
    <cacheField name="Quarts_6" numFmtId="0">
      <sharedItems/>
    </cacheField>
    <cacheField name="Quarts_7" numFmtId="0">
      <sharedItems/>
    </cacheField>
    <cacheField name="Quarts_8" numFmtId="0">
      <sharedItems/>
    </cacheField>
    <cacheField name="Semis_1" numFmtId="0">
      <sharedItems/>
    </cacheField>
    <cacheField name="Semis_2" numFmtId="0">
      <sharedItems/>
    </cacheField>
    <cacheField name="Semis_3" numFmtId="0">
      <sharedItems/>
    </cacheField>
    <cacheField name="Semis_4" numFmtId="0">
      <sharedItems/>
    </cacheField>
    <cacheField name="Final_1" numFmtId="0">
      <sharedItems/>
    </cacheField>
    <cacheField name="Final_2" numFmtId="0">
      <sharedItems/>
    </cacheField>
    <cacheField name="Campió" numFmtId="0">
      <sharedItems/>
    </cacheField>
    <cacheField name="Resultat final" numFmtId="49">
      <sharedItems containsBlank="1"/>
    </cacheField>
    <cacheField name="MVP" numFmtId="0">
      <sharedItems/>
    </cacheField>
    <cacheField name="Pichichi" numFmtId="0">
      <sharedItems/>
    </cacheField>
    <cacheField name="Punts Grups 1r" numFmtId="0">
      <sharedItems containsSemiMixedTypes="0" containsString="0" containsNumber="1" containsInteger="1" minValue="16" maxValue="24"/>
    </cacheField>
    <cacheField name="Punts Grups 2n" numFmtId="0">
      <sharedItems containsSemiMixedTypes="0" containsString="0" containsNumber="1" containsInteger="1" minValue="9" maxValue="17"/>
    </cacheField>
    <cacheField name="Punts Grups 3r" numFmtId="0">
      <sharedItems containsSemiMixedTypes="0" containsString="0" containsNumber="1" minValue="6" maxValue="16.5"/>
    </cacheField>
    <cacheField name="Punts Vuitens" numFmtId="0">
      <sharedItems containsSemiMixedTypes="0" containsString="0" containsNumber="1" containsInteger="1" minValue="5" maxValue="9"/>
    </cacheField>
    <cacheField name="Punts Quarts" numFmtId="0">
      <sharedItems containsSemiMixedTypes="0" containsString="0" containsNumber="1" containsInteger="1" minValue="0" maxValue="0"/>
    </cacheField>
    <cacheField name="Punts Semis" numFmtId="0">
      <sharedItems containsSemiMixedTypes="0" containsString="0" containsNumber="1" containsInteger="1" minValue="0" maxValue="0"/>
    </cacheField>
    <cacheField name="Punts Finalistes" numFmtId="0">
      <sharedItems containsSemiMixedTypes="0" containsString="0" containsNumber="1" containsInteger="1" minValue="0" maxValue="0"/>
    </cacheField>
    <cacheField name="Punts Campió" numFmtId="0">
      <sharedItems containsSemiMixedTypes="0" containsString="0" containsNumber="1" containsInteger="1" minValue="0" maxValue="0"/>
    </cacheField>
    <cacheField name="Punts MVP" numFmtId="0">
      <sharedItems containsSemiMixedTypes="0" containsString="0" containsNumber="1" containsInteger="1" minValue="0" maxValue="0"/>
    </cacheField>
    <cacheField name="Punts Pichichi" numFmtId="0">
      <sharedItems containsSemiMixedTypes="0" containsString="0" containsNumber="1" containsInteger="1" minValue="0" maxValue="6"/>
    </cacheField>
    <cacheField name="Resultat Final2" numFmtId="0">
      <sharedItems containsSemiMixedTypes="0" containsString="0" containsNumber="1" containsInteger="1" minValue="0" maxValue="0"/>
    </cacheField>
    <cacheField name="Total Punts" numFmtId="0">
      <sharedItems containsSemiMixedTypes="0" containsString="0" containsNumber="1" minValue="42" maxValue="64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s v="Manteniment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Canadà"/>
    <s v="Marroc"/>
    <s v="Turquia"/>
    <s v="Equador"/>
    <s v="Japó"/>
    <s v="Iran"/>
    <s v="Uruguai"/>
    <s v="Noruega"/>
    <s v="Àustria"/>
    <s v="Colòmbia"/>
    <s v="Croàcia"/>
    <s v="República Txeca"/>
    <s v="Bosnia i Hercegovina"/>
    <s v="Escòcia"/>
    <s v="Paraguai"/>
    <s v="Costa d'Ivori"/>
    <s v="Suècia"/>
    <s v="Egipte"/>
    <s v="Cap Verd"/>
    <s v="Senegal"/>
    <s v="Algèria"/>
    <s v="Uzbekistan"/>
    <s v="Ghana"/>
    <s v="Alemanya"/>
    <s v="França"/>
    <s v="Corea del Sud"/>
    <s v="Països Baixos"/>
    <s v="Colòmbia"/>
    <s v="Espanya"/>
    <s v="Estats Units"/>
    <s v="Bèlgica"/>
    <s v="Brasil"/>
    <s v="Equador"/>
    <s v="Mèxic"/>
    <s v="Anglaterra"/>
    <s v="Argentina"/>
    <s v="Turquia"/>
    <s v="Suïssa"/>
    <s v="Portugal"/>
    <s v="França"/>
    <s v="Països Baixos"/>
    <s v="Espanya"/>
    <s v="Bèlgica"/>
    <s v="Brasil"/>
    <s v="Anglaterra"/>
    <s v="Argentina"/>
    <s v="Portugal"/>
    <s v="França"/>
    <s v="Espanya"/>
    <s v="Brasil"/>
    <s v="Argentina"/>
    <s v="França"/>
    <s v="Argentina"/>
    <s v="Argentina"/>
    <m/>
    <s v="Lionel Messi"/>
    <s v="Kylian Mbappé"/>
    <n v="23"/>
    <n v="14"/>
    <n v="13.5"/>
    <n v="6"/>
    <n v="0"/>
    <n v="0"/>
    <n v="0"/>
    <n v="0"/>
    <n v="0"/>
    <n v="6"/>
    <n v="0"/>
    <n v="62.5"/>
  </r>
  <r>
    <x v="1"/>
    <s v="Obres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rea del Sud"/>
    <s v="Suïssa"/>
    <s v="Marroc"/>
    <s v="Turquia"/>
    <s v="Costa d'Ivori"/>
    <s v="Japó"/>
    <s v="Egipte"/>
    <s v="Uruguai"/>
    <s v="Noruega"/>
    <s v="Àustria"/>
    <s v="Colòmbia"/>
    <s v="Croàcia"/>
    <s v="República Txeca"/>
    <s v="Qatar"/>
    <s v="Escòcia"/>
    <s v="Austràlia"/>
    <s v="Equador"/>
    <s v="Suècia"/>
    <s v="Iran"/>
    <s v="Aràbia Saudita"/>
    <s v="Senegal"/>
    <s v="Algèria"/>
    <s v="Uzbekistan"/>
    <s v="Ghana"/>
    <s v="França"/>
    <s v="Argentina"/>
    <s v="Brasil"/>
    <s v="Anglaterra"/>
    <s v="Espanya"/>
    <s v="Alemanya"/>
    <s v="Portugal"/>
    <s v="Països Baixos"/>
    <s v="Estats Units"/>
    <s v="Mèxic"/>
    <s v="Uruguai"/>
    <s v="Marroc"/>
    <s v="Croàcia"/>
    <s v="Japó"/>
    <s v="Colòmbia"/>
    <s v="Suïssa"/>
    <s v="França"/>
    <s v="Argentina"/>
    <s v="Brasil"/>
    <s v="Anglaterra"/>
    <s v="Espanya"/>
    <s v="Alemanya"/>
    <s v="Portugal"/>
    <s v="Països Baixos"/>
    <s v="França"/>
    <s v="Argentina"/>
    <s v="Espanya"/>
    <s v="Brasil"/>
    <s v="França"/>
    <s v="Espanya"/>
    <s v="Espanya"/>
    <m/>
    <s v="Lamine Yamal"/>
    <s v="Kylian Mbappé"/>
    <n v="22"/>
    <n v="16"/>
    <n v="12"/>
    <n v="6"/>
    <n v="0"/>
    <n v="0"/>
    <n v="0"/>
    <n v="0"/>
    <n v="0"/>
    <n v="6"/>
    <n v="0"/>
    <n v="62"/>
  </r>
  <r>
    <x v="2"/>
    <s v="Obres"/>
    <s v="Mèxic"/>
    <s v="Canadà"/>
    <s v="Brasil"/>
    <s v="Turquia"/>
    <s v="Alemanya"/>
    <s v="Països Baixos"/>
    <s v="Bèlgica"/>
    <s v="Espanya"/>
    <s v="França"/>
    <s v="Argentina"/>
    <s v="Colòmbia"/>
    <s v="Anglaterra"/>
    <s v="República Txeca"/>
    <s v="Suïssa"/>
    <s v="Marroc"/>
    <s v="Estats Units"/>
    <s v="Equador"/>
    <s v="Japó"/>
    <s v="Iran"/>
    <s v="Uruguai"/>
    <s v="Noruega"/>
    <s v="Algèria"/>
    <s v="Portugal"/>
    <s v="Ghana"/>
    <s v="Sud-àfrica"/>
    <s v="Bosnia i Hercegovina"/>
    <s v="Escòcia"/>
    <s v="Paraguai"/>
    <s v="Costa d'Ivori"/>
    <s v="Suècia"/>
    <s v="Egipte"/>
    <s v="Aràbia Saudita"/>
    <s v="Senegal"/>
    <s v="Àustria"/>
    <s v="RD Congo"/>
    <s v="Croàcia"/>
    <s v="Alemanya"/>
    <s v="França"/>
    <s v="Suïssa"/>
    <s v="Països Baixos"/>
    <s v="Portugal"/>
    <s v="Espanya"/>
    <s v="Turquia"/>
    <s v="Bèlgica"/>
    <s v="Brasil"/>
    <s v="Noruega"/>
    <s v="Mèxic"/>
    <s v="Anglaterra"/>
    <s v="Argentina"/>
    <s v="Estats Units"/>
    <s v="Canadà"/>
    <s v="Colòmbia"/>
    <s v="França"/>
    <s v="Països Baixos"/>
    <s v="Espanya"/>
    <s v="Bèlgica"/>
    <s v="Brasil"/>
    <s v="Anglaterra"/>
    <s v="Argentina"/>
    <s v="Colòmbia"/>
    <s v="França"/>
    <s v="Espanya"/>
    <s v="Anglaterra"/>
    <s v="Argentina"/>
    <s v="Espanya"/>
    <s v="Anglaterra"/>
    <s v="Espanya"/>
    <m/>
    <s v="Lamine Yamal"/>
    <s v="Kylian Mbappé"/>
    <n v="21"/>
    <n v="13"/>
    <n v="13.5"/>
    <n v="8"/>
    <n v="0"/>
    <n v="0"/>
    <n v="0"/>
    <n v="0"/>
    <n v="0"/>
    <n v="6"/>
    <n v="0"/>
    <n v="61.5"/>
  </r>
  <r>
    <x v="3"/>
    <s v="Manteniment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rea del Sud"/>
    <s v="Suïssa"/>
    <s v="Marroc"/>
    <s v="Turquia"/>
    <s v="Costa d'Ivori"/>
    <s v="Japó"/>
    <s v="Iran"/>
    <s v="Uruguai"/>
    <s v="Senegal"/>
    <s v="Àustria"/>
    <s v="Colòmbia"/>
    <s v="Croàcia"/>
    <s v="Sud-àfrica"/>
    <s v="Qatar"/>
    <s v="Escòcia"/>
    <s v="Austràlia"/>
    <s v="Equador"/>
    <s v="Suècia"/>
    <s v="Egipte"/>
    <s v="Aràbia Saudita"/>
    <s v="Noruega"/>
    <s v="Algèria"/>
    <s v="RD Congo"/>
    <s v="Ghana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rea del Sud"/>
    <s v="Suïssa"/>
    <s v="Uruguai"/>
    <s v="Croàcia"/>
    <s v="Espanya"/>
    <s v="França"/>
    <s v="Argentina"/>
    <s v="Brasil"/>
    <s v="Anglaterra"/>
    <s v="Portugal"/>
    <s v="Alemanya"/>
    <s v="Països Baixos"/>
    <s v="Espanya"/>
    <s v="França"/>
    <s v="Argentina"/>
    <s v="Brasil"/>
    <s v="Espanya"/>
    <s v="Argentina"/>
    <s v="Espanya"/>
    <m/>
    <s v="Lamine Yamal"/>
    <s v="Kylian Mbappé"/>
    <n v="22"/>
    <n v="13"/>
    <n v="14.5"/>
    <n v="7"/>
    <n v="0"/>
    <n v="0"/>
    <n v="0"/>
    <n v="0"/>
    <n v="0"/>
    <n v="6"/>
    <n v="0"/>
    <n v="62.5"/>
  </r>
  <r>
    <x v="4"/>
    <s v="Obres"/>
    <s v="Mèxic"/>
    <s v="Canadà"/>
    <s v="Brasil"/>
    <s v="Turquia"/>
    <s v="Alemanya"/>
    <s v="Països Baixos"/>
    <s v="Bèlgica"/>
    <s v="Espanya"/>
    <s v="França"/>
    <s v="Argentina"/>
    <s v="Portugal"/>
    <s v="Anglaterra"/>
    <s v="República Txeca"/>
    <s v="Bosnia i Hercegovina"/>
    <s v="Marroc"/>
    <s v="Estats Units"/>
    <s v="Costa d'Ivori"/>
    <s v="Japó"/>
    <s v="Egipte"/>
    <s v="Uruguai"/>
    <s v="Noruega"/>
    <s v="Àustria"/>
    <s v="Colòmbia"/>
    <s v="Croàcia"/>
    <s v="Corea del Sud"/>
    <s v="Suïssa"/>
    <s v="Escòcia"/>
    <s v="Paraguai"/>
    <s v="Equador"/>
    <s v="Suècia"/>
    <s v="Iran"/>
    <s v="Aràbia Saudita"/>
    <s v="Senegal"/>
    <s v="Algèria"/>
    <s v="RD Congo"/>
    <s v="Ghana"/>
    <s v="Alemanya"/>
    <s v="França"/>
    <s v="República Txeca"/>
    <s v="Països Baixos"/>
    <s v="Croàcia"/>
    <s v="Espanya"/>
    <s v="Suïssa"/>
    <s v="Senegal"/>
    <s v="Brasil"/>
    <s v="Noruega"/>
    <s v="Equador"/>
    <s v="Anglaterra"/>
    <s v="Argentina"/>
    <s v="Egipte"/>
    <s v="Canadà"/>
    <s v="Portugal"/>
    <s v="França"/>
    <s v="Països Baixos"/>
    <s v="Espanya"/>
    <s v="Senegal"/>
    <s v="Brasil"/>
    <s v="Anglaterra"/>
    <s v="Argentina"/>
    <s v="Portugal"/>
    <s v="França"/>
    <s v="Espanya"/>
    <s v="Brasil"/>
    <s v="Argentina"/>
    <s v="Espanya"/>
    <s v="Argentina"/>
    <s v="Espanya"/>
    <m/>
    <s v="Pedri"/>
    <s v="Kylian Mbappé"/>
    <n v="20"/>
    <n v="16"/>
    <n v="16.5"/>
    <n v="5"/>
    <n v="0"/>
    <n v="0"/>
    <n v="0"/>
    <n v="0"/>
    <n v="0"/>
    <n v="6"/>
    <n v="0"/>
    <n v="63.5"/>
  </r>
  <r>
    <x v="5"/>
    <s v="Obres"/>
    <s v="Mèxic"/>
    <s v="Suïssa"/>
    <s v="Marroc"/>
    <s v="Estats Units"/>
    <s v="Alemanya"/>
    <s v="Països Baixos"/>
    <s v="Bèlgica"/>
    <s v="Espanya"/>
    <s v="França"/>
    <s v="Argentina"/>
    <s v="Colòmbia"/>
    <s v="Anglaterra"/>
    <s v="Corea del Sud"/>
    <s v="Canadà"/>
    <s v="Brasil"/>
    <s v="Turquia"/>
    <s v="Equador"/>
    <s v="Japó"/>
    <s v="Egipte"/>
    <s v="Uruguai"/>
    <s v="Noruega"/>
    <s v="Àustria"/>
    <s v="Portugal"/>
    <s v="Croàcia"/>
    <s v="República Txeca"/>
    <s v="Qatar"/>
    <s v="Escòcia"/>
    <s v="Paraguai"/>
    <s v="Costa d'Ivori"/>
    <s v="Suècia"/>
    <s v="Nova Zelanda"/>
    <s v="Aràbia Saudita"/>
    <s v="Senegal"/>
    <s v="Algèria"/>
    <s v="Uzbekistan"/>
    <s v="Ghana"/>
    <s v="Mèxic"/>
    <s v="Suïssa"/>
    <s v="Marroc"/>
    <s v="Estats Units"/>
    <s v="Alemanya"/>
    <s v="Països Baixos"/>
    <s v="Bèlgica"/>
    <s v="Espanya"/>
    <s v="França"/>
    <s v="Portugal"/>
    <s v="Colòmbia"/>
    <s v="Anglaterra"/>
    <s v="Corea del Sud"/>
    <s v="Brasil"/>
    <s v="Japó"/>
    <s v="Uruguai"/>
    <s v="Mèxic"/>
    <s v="Marroc"/>
    <s v="Alemanya"/>
    <s v="Espanya"/>
    <s v="França"/>
    <s v="Anglaterra"/>
    <s v="Brasil"/>
    <s v="Uruguai"/>
    <s v="Marroc"/>
    <s v="Espanya"/>
    <s v="França"/>
    <s v="Brasil"/>
    <s v="Espanya"/>
    <s v="França"/>
    <s v="Espanya"/>
    <m/>
    <s v="Lamine Yamal"/>
    <s v="Kylian Mbappé"/>
    <n v="23"/>
    <n v="16"/>
    <n v="11.5"/>
    <n v="7"/>
    <n v="0"/>
    <n v="0"/>
    <n v="0"/>
    <n v="0"/>
    <n v="0"/>
    <n v="6"/>
    <n v="0"/>
    <n v="63.5"/>
  </r>
  <r>
    <x v="6"/>
    <s v="Direcció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República Txeca"/>
    <s v="Canadà"/>
    <s v="Marroc"/>
    <s v="Turquia"/>
    <s v="Equador"/>
    <s v="Japó"/>
    <s v="Iran"/>
    <s v="Uruguai"/>
    <s v="Noruega"/>
    <s v="Àustria"/>
    <s v="Colòmbia"/>
    <s v="Croàcia"/>
    <s v="Corea del Sud"/>
    <s v="Qatar"/>
    <s v="Escòcia"/>
    <s v="Austràlia"/>
    <s v="Costa d'Ivori"/>
    <s v="Suècia"/>
    <s v="Egipte"/>
    <s v="Aràbia Saudita"/>
    <s v="Senegal"/>
    <s v="Algèria"/>
    <s v="RD Congo"/>
    <s v="Ghana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Uruguai"/>
    <s v="Croàcia"/>
    <s v="Colòmbia"/>
    <s v="Marroc"/>
    <s v="Brasil"/>
    <s v="Estats Units"/>
    <s v="Alemanya"/>
    <s v="Països Baixos"/>
    <s v="Anglaterra"/>
    <s v="Espanya"/>
    <s v="França"/>
    <s v="Argentina"/>
    <s v="Espanya"/>
    <s v="França"/>
    <s v="Anglaterra"/>
    <s v="Brasil"/>
    <s v="Espanya"/>
    <s v="França"/>
    <s v="Espanya"/>
    <m/>
    <s v="Lamine Yamal"/>
    <s v="Kylian Mbappé"/>
    <n v="23"/>
    <n v="14"/>
    <n v="14"/>
    <n v="7"/>
    <n v="0"/>
    <n v="0"/>
    <n v="0"/>
    <n v="0"/>
    <n v="0"/>
    <n v="6"/>
    <n v="0"/>
    <n v="64"/>
  </r>
  <r>
    <x v="7"/>
    <s v="Manteniment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rea del Sud"/>
    <s v="Suïssa"/>
    <s v="Marroc"/>
    <s v="Turquia"/>
    <s v="Equador"/>
    <s v="Japó"/>
    <s v="Iran"/>
    <s v="Uruguai"/>
    <s v="Senegal"/>
    <s v="Àustria"/>
    <s v="Colòmbia"/>
    <s v="Croàcia"/>
    <s v="Sud-àfrica"/>
    <s v="Qatar"/>
    <s v="Escòcia"/>
    <s v="Austràlia"/>
    <s v="Costa d'Ivori"/>
    <s v="Suècia"/>
    <s v="Egipte"/>
    <s v="Aràbia Saudita"/>
    <s v="Noruega"/>
    <s v="Algèria"/>
    <s v="Uzbekistan"/>
    <s v="Ghana"/>
    <s v="Mèxic"/>
    <s v="Corea del Sud"/>
    <s v="Canadà"/>
    <s v="Suïssa"/>
    <s v="Brasil"/>
    <s v="Marroc"/>
    <s v="Estats Units"/>
    <s v="Turquia"/>
    <s v="Alemanya"/>
    <s v="Equador"/>
    <s v="Països Baixos"/>
    <s v="Japó"/>
    <s v="Bèlgica"/>
    <s v="Espanya"/>
    <s v="França"/>
    <s v="Argentina"/>
    <s v="Brasil"/>
    <s v="Espanya"/>
    <s v="França"/>
    <s v="Argentina"/>
    <s v="Anglaterra"/>
    <s v="Portugal"/>
    <s v="Alemanya"/>
    <s v="Països Baixos"/>
    <s v="França"/>
    <s v="Espanya"/>
    <s v="Brasil"/>
    <s v="Argentina"/>
    <s v="França"/>
    <s v="Espanya"/>
    <s v="Espanya"/>
    <s v="2026-02-01"/>
    <s v="Lamine Yamal"/>
    <s v="Kylian Mbappé"/>
    <n v="22"/>
    <n v="12"/>
    <n v="11.5"/>
    <n v="7"/>
    <n v="0"/>
    <n v="0"/>
    <n v="0"/>
    <n v="0"/>
    <n v="0"/>
    <n v="6"/>
    <n v="0"/>
    <n v="58.5"/>
  </r>
  <r>
    <x v="8"/>
    <s v="Estudis"/>
    <s v="Mèxic"/>
    <s v="Suïssa"/>
    <s v="Brasil"/>
    <s v="Turquia"/>
    <s v="Alemanya"/>
    <s v="Països Baixos"/>
    <s v="Bèlgica"/>
    <s v="Espanya"/>
    <s v="França"/>
    <s v="Argentina"/>
    <s v="Colòmbia"/>
    <s v="Anglaterra"/>
    <s v="Corea del Sud"/>
    <s v="Canadà"/>
    <s v="Marroc"/>
    <s v="Estats Units"/>
    <s v="Costa d'Ivori"/>
    <s v="Suècia"/>
    <s v="Egipte"/>
    <s v="Uruguai"/>
    <s v="Senegal"/>
    <s v="Àustria"/>
    <s v="Portugal"/>
    <s v="Croàcia"/>
    <s v="República Txeca"/>
    <s v="Qatar"/>
    <s v="Escòcia"/>
    <s v="Paraguai"/>
    <s v="Equador"/>
    <s v="Japó"/>
    <s v="Iran"/>
    <s v="Cap Verd"/>
    <s v="Noruega"/>
    <s v="Jordània"/>
    <s v="RD Congo"/>
    <s v="Panamà"/>
    <s v="França"/>
    <s v="Espanya"/>
    <s v="Anglaterra"/>
    <s v="Portugal"/>
    <s v="Alemanya"/>
    <s v="Brasil"/>
    <s v="Argentina"/>
    <s v="Bèlgica"/>
    <s v="Colòmbia"/>
    <s v="Països Baixos"/>
    <s v="Suïssa"/>
    <s v="Marroc"/>
    <s v="Colòmbia"/>
    <s v="Canadà"/>
    <s v="Noruega"/>
    <s v="Turquia"/>
    <s v="Espanya"/>
    <s v="França"/>
    <s v="Argentina"/>
    <s v="Anglaterra"/>
    <s v="Brasil"/>
    <s v="Portugal"/>
    <s v="Marroc"/>
    <s v="Països Baixos"/>
    <s v="Argentina"/>
    <s v="Països Baixos"/>
    <s v="Espanya"/>
    <s v="Brasil"/>
    <s v="Argentina"/>
    <s v="Països Baixos"/>
    <s v="Argentina"/>
    <m/>
    <s v="Lamine Yamal"/>
    <s v="Kylian Mbappé"/>
    <n v="22"/>
    <n v="17"/>
    <n v="10"/>
    <n v="7"/>
    <n v="0"/>
    <n v="0"/>
    <n v="0"/>
    <n v="0"/>
    <n v="0"/>
    <n v="6"/>
    <n v="0"/>
    <n v="62"/>
  </r>
  <r>
    <x v="9"/>
    <s v="Manteniment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República Txeca"/>
    <s v="Canadà"/>
    <s v="Marroc"/>
    <s v="Turquia"/>
    <s v="Costa d'Ivori"/>
    <s v="Japó"/>
    <s v="Egipte"/>
    <s v="Uruguai"/>
    <s v="Noruega"/>
    <s v="Àustria"/>
    <s v="Colòmbia"/>
    <s v="Croàcia"/>
    <s v="Corea del Sud"/>
    <s v="Bosnia i Hercegovina"/>
    <s v="Escòcia"/>
    <s v="Paraguai"/>
    <s v="Equador"/>
    <s v="Suècia"/>
    <s v="Iran"/>
    <s v="Cap Verd"/>
    <s v="Senegal"/>
    <s v="Algèria"/>
    <s v="RD Congo"/>
    <s v="Ghana"/>
    <s v="Alemanya"/>
    <s v="França"/>
    <s v="Mèxic"/>
    <s v="Marroc"/>
    <s v="Croàcia"/>
    <s v="Espanya"/>
    <s v="Suècia"/>
    <s v="Bèlgica"/>
    <s v="Brasil"/>
    <s v="Noruega"/>
    <s v="Estats Units"/>
    <s v="Anglaterra"/>
    <s v="Argentina"/>
    <s v="Turquia"/>
    <s v="Suïssa"/>
    <s v="Portugal"/>
    <s v="França"/>
    <s v="Marroc"/>
    <s v="Espanya"/>
    <s v="Bèlgica"/>
    <s v="Brasil"/>
    <s v="Anglaterra"/>
    <s v="Argentina"/>
    <s v="Portugal"/>
    <s v="França"/>
    <s v="Espanya"/>
    <s v="Brasil"/>
    <s v="Argentina"/>
    <s v="França"/>
    <s v="Espanya"/>
    <s v="Espanya"/>
    <s v="2026-04-03"/>
    <s v="Lamine Yamal"/>
    <s v="Ferran Torres"/>
    <n v="23"/>
    <n v="17"/>
    <n v="16.5"/>
    <n v="8"/>
    <n v="0"/>
    <n v="0"/>
    <n v="0"/>
    <n v="0"/>
    <n v="0"/>
    <n v="0"/>
    <n v="0"/>
    <n v="64.5"/>
  </r>
  <r>
    <x v="10"/>
    <s v="Compres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Canadà"/>
    <s v="Marroc"/>
    <s v="Turquia"/>
    <s v="Equador"/>
    <s v="Japó"/>
    <s v="Egipte"/>
    <s v="Uruguai"/>
    <s v="Noruega"/>
    <s v="Àustria"/>
    <s v="Colòmbia"/>
    <s v="Panamà"/>
    <s v="Sud-àfrica"/>
    <s v="Qatar"/>
    <s v="Escòcia"/>
    <s v="Paraguai"/>
    <s v="Costa d'Ivori"/>
    <s v="Suècia"/>
    <s v="Nova Zelanda"/>
    <s v="Aràbia Saudita"/>
    <s v="Senegal"/>
    <s v="Algèria"/>
    <s v="RD Congo"/>
    <s v="Croàcia"/>
    <s v="Mèxic"/>
    <s v="Brasil"/>
    <s v="Turquia"/>
    <s v="Alemanya"/>
    <s v="Països Baixos"/>
    <s v="Espanya"/>
    <s v="Uruguai"/>
    <s v="França"/>
    <s v="Noruega"/>
    <s v="Argentina"/>
    <s v="Portugal"/>
    <s v="Colòmbia"/>
    <s v="Anglaterra"/>
    <s v="Marroc"/>
    <s v="Croàcia"/>
    <s v="Estats Units"/>
    <s v="Brasil"/>
    <s v="Alemanya"/>
    <s v="Espanya"/>
    <s v="Argentina"/>
    <s v="França"/>
    <s v="Portugal"/>
    <s v="Anglaterra"/>
    <s v="Uruguai"/>
    <s v="Argentina"/>
    <s v="Portugal"/>
    <s v="Espanya"/>
    <s v="Anglaterra"/>
    <s v="Espanya"/>
    <s v="Argentina"/>
    <s v="Argentina"/>
    <s v="2026-02-03"/>
    <s v="Harry Kane"/>
    <s v="Kylian Mbappé"/>
    <n v="23"/>
    <n v="14"/>
    <n v="13.5"/>
    <n v="7"/>
    <n v="0"/>
    <n v="0"/>
    <n v="0"/>
    <n v="0"/>
    <n v="0"/>
    <n v="6"/>
    <n v="0"/>
    <n v="63.5"/>
  </r>
  <r>
    <x v="11"/>
    <s v="Obres"/>
    <s v="Mèxic"/>
    <s v="Suïssa"/>
    <s v="Brasil"/>
    <s v="Turquia"/>
    <s v="Alemanya"/>
    <s v="Països Baixos"/>
    <s v="Bèlgica"/>
    <s v="Espanya"/>
    <s v="França"/>
    <s v="Argentina"/>
    <s v="Colòmbia"/>
    <s v="Anglaterra"/>
    <s v="Corea del Sud"/>
    <s v="Bosnia i Hercegovina"/>
    <s v="Marroc"/>
    <s v="Estats Units"/>
    <s v="Equador"/>
    <s v="Japó"/>
    <s v="Iran"/>
    <s v="Uruguai"/>
    <s v="Noruega"/>
    <s v="Àustria"/>
    <s v="Portugal"/>
    <s v="Croàcia"/>
    <s v="República Txeca"/>
    <s v="Canadà"/>
    <s v="Escòcia"/>
    <s v="Paraguai"/>
    <s v="Costa d'Ivori"/>
    <s v="Suècia"/>
    <s v="Egipte"/>
    <s v="Aràbia Saudita"/>
    <s v="Senegal"/>
    <s v="Algèria"/>
    <s v="Uzbekistan"/>
    <s v="Panamà"/>
    <s v="Mèxic"/>
    <s v="Suïssa"/>
    <s v="Brasil"/>
    <s v="Turquia"/>
    <s v="Alemanya"/>
    <s v="Països Baixos"/>
    <s v="Bèlgica"/>
    <s v="Espanya"/>
    <s v="França"/>
    <s v="Argentina"/>
    <s v="Colòmbia"/>
    <s v="Anglaterra"/>
    <s v="Portugal"/>
    <s v="Croàcia"/>
    <s v="Marroc"/>
    <s v="Estats Units"/>
    <s v="Suïssa"/>
    <s v="Brasil"/>
    <s v="Països Baixos"/>
    <s v="Espanya"/>
    <s v="Argentina"/>
    <s v="Anglaterra"/>
    <s v="Portugal"/>
    <s v="Marroc"/>
    <s v="Brasil"/>
    <s v="Espanya"/>
    <s v="Argentina"/>
    <s v="Marroc"/>
    <s v="Espanya"/>
    <s v="Argentina"/>
    <s v="Argentina"/>
    <m/>
    <s v="Lionel Messi"/>
    <s v="Julián Álvarez"/>
    <n v="22"/>
    <n v="14"/>
    <n v="11.5"/>
    <n v="7"/>
    <n v="0"/>
    <n v="0"/>
    <n v="0"/>
    <n v="0"/>
    <n v="0"/>
    <n v="0"/>
    <n v="0"/>
    <n v="54.5"/>
  </r>
  <r>
    <x v="12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República Txeca"/>
    <s v="Bosnia i Hercegovina"/>
    <s v="Marroc"/>
    <s v="Paraguai"/>
    <s v="Equador"/>
    <s v="Japó"/>
    <s v="Egipte"/>
    <s v="Uruguai"/>
    <s v="Noruega"/>
    <s v="Àustria"/>
    <s v="Colòmbia"/>
    <s v="Croàcia"/>
    <s v="Corea del Sud"/>
    <s v="Canadà"/>
    <s v="Escòcia"/>
    <s v="Estats Units"/>
    <s v="Costa d'Ivori"/>
    <s v="Suècia"/>
    <s v="Iran"/>
    <s v="Aràbia Saudita"/>
    <s v="Senegal"/>
    <s v="Algèria"/>
    <s v="RD Congo"/>
    <s v="Ghana"/>
    <s v="Equador"/>
    <s v="França"/>
    <s v="República Txeca"/>
    <s v="Països Baixos"/>
    <s v="Colòmbia"/>
    <s v="Espanya"/>
    <s v="Turquia"/>
    <s v="Bèlgica"/>
    <s v="Brasil"/>
    <s v="Alemanya"/>
    <s v="Mèxic"/>
    <s v="Anglaterra"/>
    <s v="Argentina"/>
    <s v="Paraguai"/>
    <s v="Suïssa"/>
    <s v="Portugal"/>
    <s v="França"/>
    <s v="Països Baixos"/>
    <s v="Espanya"/>
    <s v="Bèlgica"/>
    <s v="Alemanya"/>
    <s v="Anglaterra"/>
    <s v="Argentina"/>
    <s v="Portugal"/>
    <s v="França"/>
    <s v="Espanya"/>
    <s v="Alemanya"/>
    <s v="Argentina"/>
    <s v="Espanya"/>
    <s v="Alemanya"/>
    <s v="Espanya"/>
    <m/>
    <s v="Lamine Yamal"/>
    <s v="Kylian Mbappé"/>
    <n v="21"/>
    <n v="15"/>
    <n v="14.5"/>
    <n v="6"/>
    <n v="0"/>
    <n v="0"/>
    <n v="0"/>
    <n v="0"/>
    <n v="0"/>
    <n v="6"/>
    <n v="0"/>
    <n v="62.5"/>
  </r>
  <r>
    <x v="13"/>
    <s v="Direcció"/>
    <s v="Mèxic"/>
    <s v="Canadà"/>
    <s v="Brasil"/>
    <s v="Turquia"/>
    <s v="Alemanya"/>
    <s v="Països Baixos"/>
    <s v="Bèlgica"/>
    <s v="Espanya"/>
    <s v="França"/>
    <s v="Argentina"/>
    <s v="Portugal"/>
    <s v="Anglaterra"/>
    <s v="Corea del Sud"/>
    <s v="Qatar"/>
    <s v="Marroc"/>
    <s v="Estats Units"/>
    <s v="Equador"/>
    <s v="Japó"/>
    <s v="Egipte"/>
    <s v="Uruguai"/>
    <s v="Noruega"/>
    <s v="Algèria"/>
    <s v="Colòmbia"/>
    <s v="Croàcia"/>
    <s v="Sud-àfrica"/>
    <s v="Suïssa"/>
    <s v="Escòcia"/>
    <s v="Paraguai"/>
    <s v="Costa d'Ivori"/>
    <s v="Suècia"/>
    <s v="Iran"/>
    <s v="Aràbia Saudita"/>
    <s v="Senegal"/>
    <s v="Àustria"/>
    <s v="RD Congo"/>
    <s v="Ghana"/>
    <s v="Alemanya"/>
    <s v="França"/>
    <s v="Corea del Sud"/>
    <s v="Marroc"/>
    <s v="Colòmbia"/>
    <s v="Espanya"/>
    <s v="Turquia"/>
    <s v="Bèlgica"/>
    <s v="Brasil"/>
    <s v="Noruega"/>
    <s v="Mèxic"/>
    <s v="Anglaterra"/>
    <s v="Argentina"/>
    <s v="Egipte"/>
    <s v="Canadà"/>
    <s v="Portugal"/>
    <s v="França"/>
    <s v="Marroc"/>
    <s v="Espanya"/>
    <s v="Bèlgica"/>
    <s v="Brasil"/>
    <s v="Anglaterra"/>
    <s v="Argentina"/>
    <s v="Portugal"/>
    <s v="França"/>
    <s v="Espanya"/>
    <s v="Brasil"/>
    <s v="Argentina"/>
    <s v="Espanya"/>
    <s v="Brasil"/>
    <s v="Espanya"/>
    <m/>
    <s v="Lamine Yamal"/>
    <s v="Kylian Mbappé"/>
    <n v="20"/>
    <n v="14"/>
    <n v="15"/>
    <n v="8"/>
    <n v="0"/>
    <n v="0"/>
    <n v="0"/>
    <n v="0"/>
    <n v="0"/>
    <n v="6"/>
    <n v="0"/>
    <n v="63"/>
  </r>
  <r>
    <x v="14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Japó"/>
    <s v="Egipte"/>
    <s v="Uruguai"/>
    <s v="Noruega"/>
    <s v="Algèria"/>
    <s v="Colòmbia"/>
    <s v="Croàcia"/>
    <s v="República Txeca"/>
    <s v="Bosnia i Hercegovina"/>
    <s v="Escòcia"/>
    <s v="Austràlia"/>
    <s v="Costa d'Ivori"/>
    <s v="Suècia"/>
    <s v="Iran"/>
    <s v="Aràbia Saudita"/>
    <s v="Senegal"/>
    <s v="Àustria"/>
    <s v="Uzbekistan"/>
    <s v="Ghana"/>
    <s v="Brasil"/>
    <s v="Alemanya"/>
    <s v="Marroc"/>
    <s v="Espanya"/>
    <s v="Bèlgica"/>
    <s v="Països Baixos"/>
    <s v="Argentina"/>
    <s v="França"/>
    <s v="Anglaterra"/>
    <s v="Croàcia"/>
    <s v="Portugal"/>
    <s v="Uruguai"/>
    <s v="Equador"/>
    <s v="Turquia"/>
    <s v="Colòmbia"/>
    <s v="Senegal"/>
    <s v="Espanya"/>
    <s v="Argentina"/>
    <s v="França"/>
    <s v="Brasil"/>
    <s v="Alemanya"/>
    <s v="Marroc"/>
    <s v="Portugal"/>
    <s v="Països Baixos"/>
    <s v="Espanya"/>
    <s v="Brasil"/>
    <s v="Argentina"/>
    <s v="França"/>
    <s v="Espanya"/>
    <s v="França"/>
    <s v="Espanya"/>
    <m/>
    <s v="Lamine Yamal"/>
    <s v="Kylian Mbappé"/>
    <n v="21"/>
    <n v="16"/>
    <n v="10"/>
    <n v="5"/>
    <n v="0"/>
    <n v="0"/>
    <n v="0"/>
    <n v="0"/>
    <n v="0"/>
    <n v="6"/>
    <n v="0"/>
    <n v="58"/>
  </r>
  <r>
    <x v="15"/>
    <s v="Obres"/>
    <s v="Corea del Sud"/>
    <s v="Canadà"/>
    <s v="Marroc"/>
    <s v="Paraguai"/>
    <s v="Alemanya"/>
    <s v="Japó"/>
    <s v="Egipte"/>
    <s v="Espanya"/>
    <s v="França"/>
    <s v="Argentina"/>
    <s v="Portugal"/>
    <s v="Anglaterra"/>
    <s v="Mèxic"/>
    <s v="Suïssa"/>
    <s v="Brasil"/>
    <s v="Estats Units"/>
    <s v="Equador"/>
    <s v="Països Baixos"/>
    <s v="Bèlgica"/>
    <s v="Uruguai"/>
    <s v="Noruega"/>
    <s v="Algèria"/>
    <s v="Colòmbia"/>
    <s v="Ghana"/>
    <s v="República Txeca"/>
    <s v="Qatar"/>
    <s v="Escòcia"/>
    <s v="Austràlia"/>
    <s v="Costa d'Ivori"/>
    <s v="Suècia"/>
    <s v="Nova Zelanda"/>
    <s v="Aràbia Saudita"/>
    <s v="Senegal"/>
    <s v="Àustria"/>
    <s v="RD Congo"/>
    <s v="Croàcia"/>
    <s v="Alemanya"/>
    <s v="França"/>
    <s v="Brasil"/>
    <s v="Japó"/>
    <s v="Ghana"/>
    <s v="Espanya"/>
    <s v="Paraguai"/>
    <s v="Egipte"/>
    <s v="Marroc"/>
    <s v="Noruega"/>
    <s v="Mèxic"/>
    <s v="Anglaterra"/>
    <s v="Argentina"/>
    <s v="Bèlgica"/>
    <s v="Portugal"/>
    <s v="Croàcia"/>
    <s v="França"/>
    <s v="Japó"/>
    <s v="Espanya"/>
    <s v="Alemanya"/>
    <s v="Marroc"/>
    <s v="Anglaterra"/>
    <s v="Portugal"/>
    <s v="Egipte"/>
    <s v="França"/>
    <s v="Espanya"/>
    <s v="Anglaterra"/>
    <s v="Portugal"/>
    <s v="Espanya"/>
    <s v="Anglaterra"/>
    <s v="Espanya"/>
    <m/>
    <s v="Harry Kane"/>
    <s v="Kylian Mbappé"/>
    <n v="16"/>
    <n v="12"/>
    <n v="10.5"/>
    <n v="8"/>
    <n v="0"/>
    <n v="0"/>
    <n v="0"/>
    <n v="0"/>
    <n v="0"/>
    <n v="6"/>
    <n v="0"/>
    <n v="52.5"/>
  </r>
  <r>
    <x v="16"/>
    <s v="Manteniment"/>
    <s v="Mèxic"/>
    <s v="Suïssa"/>
    <s v="Brasil"/>
    <s v="Turquia"/>
    <s v="Costa d'Ivori"/>
    <s v="Països Baixos"/>
    <s v="Bèlgica"/>
    <s v="Espanya"/>
    <s v="França"/>
    <s v="Argentina"/>
    <s v="Portugal"/>
    <s v="Anglaterra"/>
    <s v="Corea del Sud"/>
    <s v="Bosnia i Hercegovina"/>
    <s v="Marroc"/>
    <s v="Estats Units"/>
    <s v="Alemanya"/>
    <s v="Japó"/>
    <s v="Egipte"/>
    <s v="Uruguai"/>
    <s v="Senegal"/>
    <s v="Àustria"/>
    <s v="Colòmbia"/>
    <s v="Croàcia"/>
    <s v="República Txeca"/>
    <s v="Canadà"/>
    <s v="Escòcia"/>
    <s v="Paraguai"/>
    <s v="Equador"/>
    <s v="Suècia"/>
    <s v="Iran"/>
    <s v="Aràbia Saudita"/>
    <s v="Noruega"/>
    <s v="Algèria"/>
    <s v="RD Congo"/>
    <s v="Ghana"/>
    <s v="Costa d'Ivori"/>
    <s v="França"/>
    <s v="Bosnia i Hercegovina"/>
    <s v="Països Baixos"/>
    <s v="Colòmbia"/>
    <s v="Espanya"/>
    <s v="Turquia"/>
    <s v="Bèlgica"/>
    <s v="Brasil"/>
    <s v="Senegal"/>
    <s v="Mèxic"/>
    <s v="Anglaterra"/>
    <s v="Argentina"/>
    <s v="Estats Units"/>
    <s v="Suïssa"/>
    <s v="Portugal"/>
    <s v="França"/>
    <s v="Països Baixos"/>
    <s v="Espanya"/>
    <s v="Turquia"/>
    <s v="Brasil"/>
    <s v="Anglaterra"/>
    <s v="Argentina"/>
    <s v="Portugal"/>
    <s v="Països Baixos"/>
    <s v="Espanya"/>
    <s v="Anglaterra"/>
    <s v="Brasil"/>
    <s v="Països Baixos"/>
    <s v="Anglaterra"/>
    <s v="Anglaterra"/>
    <m/>
    <s v="Vinícius Júnior"/>
    <s v="Harry Kane"/>
    <n v="20"/>
    <n v="14"/>
    <n v="15"/>
    <n v="6"/>
    <n v="0"/>
    <n v="0"/>
    <n v="0"/>
    <n v="0"/>
    <n v="0"/>
    <n v="5"/>
    <n v="0"/>
    <n v="60"/>
  </r>
  <r>
    <x v="17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Suècia"/>
    <s v="Egipte"/>
    <s v="Uruguai"/>
    <s v="Noruega"/>
    <s v="Algèria"/>
    <s v="Colòmbia"/>
    <s v="Croàcia"/>
    <s v="República Txeca"/>
    <s v="Bosnia i Hercegovina"/>
    <s v="Escòcia"/>
    <s v="Paraguai"/>
    <s v="Costa d'Ivori"/>
    <s v="Japó"/>
    <s v="Iran"/>
    <s v="Aràbia Saudita"/>
    <s v="Senegal"/>
    <s v="Àustria"/>
    <s v="RD Congo"/>
    <s v="Ghana"/>
    <s v="Mèxic"/>
    <s v="Suïssa"/>
    <s v="Brasil"/>
    <s v="Turquia"/>
    <s v="Alemanya"/>
    <s v="Pasïsos Baixos"/>
    <s v="Bèlgica"/>
    <s v="Espanya"/>
    <s v="França"/>
    <s v="Argentina"/>
    <s v="Portugal"/>
    <s v="Anglaterra"/>
    <s v="Corea del Sud"/>
    <s v="Equador"/>
    <s v="Colòmbia"/>
    <s v="Estats Units"/>
    <s v="França"/>
    <s v="Països Baixos"/>
    <s v="Brasil"/>
    <s v="Anglaterra"/>
    <s v="Turquia"/>
    <s v="Espanya"/>
    <s v="Argentina"/>
    <s v="Portugal"/>
    <s v="França"/>
    <s v="Brasil"/>
    <s v="Espanya"/>
    <s v="Portugal"/>
    <s v="Espanya"/>
    <s v="França"/>
    <s v="Espanya"/>
    <s v="2026-01-02"/>
    <s v="Lamine Yamal"/>
    <s v="Kylian Mbappé"/>
    <n v="21"/>
    <n v="15"/>
    <n v="12"/>
    <n v="6"/>
    <n v="0"/>
    <n v="0"/>
    <n v="0"/>
    <n v="0"/>
    <n v="0"/>
    <n v="6"/>
    <n v="0"/>
    <n v="60"/>
  </r>
  <r>
    <x v="18"/>
    <s v="Manteniment"/>
    <s v="República Txeca"/>
    <s v="Suïssa"/>
    <s v="Brasil"/>
    <s v="Estats Units"/>
    <s v="Alemanya"/>
    <s v="Japó"/>
    <s v="Bèlgica"/>
    <s v="Espanya"/>
    <s v="França"/>
    <s v="Argentina"/>
    <s v="Portugal"/>
    <s v="Anglaterra"/>
    <s v="Mèxic"/>
    <s v="Canadà"/>
    <s v="Marroc"/>
    <s v="Turquia"/>
    <s v="Equador"/>
    <s v="Països Baixos"/>
    <s v="Egipte"/>
    <s v="Uruguai"/>
    <s v="Noruega"/>
    <s v="Àustria"/>
    <s v="Colòmbia"/>
    <s v="Croàcia"/>
    <s v="Corea del Sud"/>
    <s v="Bosnia i Hercegovina"/>
    <s v="Escòcia"/>
    <s v="Paraguai"/>
    <s v="Costa d'Ivori"/>
    <s v="Suècia"/>
    <s v="Iran"/>
    <s v="Cap Verd"/>
    <s v="Senegal"/>
    <s v="Algèria"/>
    <s v="RD Congo"/>
    <s v="Ghana"/>
    <s v="Alemanya"/>
    <s v="França"/>
    <s v="Mèxic"/>
    <s v="Marroc"/>
    <s v="Croàcia"/>
    <s v="Espanya"/>
    <s v="Suècia"/>
    <s v="Bèlgica"/>
    <s v="Brasil"/>
    <s v="Noruega"/>
    <s v="República Txeca"/>
    <s v="Anglaterra"/>
    <s v="Argentina"/>
    <s v="Turquia"/>
    <s v="Suïssa"/>
    <s v="Portugal"/>
    <s v="França"/>
    <s v="Marroc"/>
    <s v="Espanya"/>
    <s v="Bèlgica"/>
    <s v="Brasil"/>
    <s v="Anglaterra"/>
    <s v="Argentina"/>
    <s v="Portugal"/>
    <s v="França"/>
    <s v="Espanya"/>
    <s v="Anglaterra"/>
    <s v="Argentina"/>
    <s v="França"/>
    <s v="Anglaterra"/>
    <s v="Anglaterra"/>
    <m/>
    <s v="Kylian Mbappé"/>
    <s v="Harry Kane"/>
    <n v="20"/>
    <n v="16"/>
    <n v="15.5"/>
    <n v="7"/>
    <n v="0"/>
    <n v="0"/>
    <n v="0"/>
    <n v="0"/>
    <n v="0"/>
    <n v="5"/>
    <n v="0"/>
    <n v="63.5"/>
  </r>
  <r>
    <x v="19"/>
    <s v="Manteniment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Canadà"/>
    <s v="Marroc"/>
    <s v="Turquia"/>
    <s v="Equador"/>
    <s v="Suècia"/>
    <s v="Egipte"/>
    <s v="Uruguai"/>
    <s v="Senegal"/>
    <s v="Àustria"/>
    <s v="Colòmbia"/>
    <s v="Croàcia"/>
    <s v="República Txeca"/>
    <s v="Bosnia i Hercegovina"/>
    <s v="Escòcia"/>
    <s v="Paraguai"/>
    <s v="Costa d'Ivori"/>
    <s v="Japó"/>
    <s v="Iran"/>
    <s v="Aràbia Saudita"/>
    <s v="Noruega"/>
    <s v="Algèria"/>
    <s v="Uzbekistan"/>
    <s v="Ghana"/>
    <s v="Canadà"/>
    <s v="Brasil"/>
    <s v="Alemanya"/>
    <s v="Països Baixos"/>
    <s v="Equador"/>
    <s v="França"/>
    <s v="Mèxic"/>
    <s v="Anglaterra"/>
    <s v="Bèlgica"/>
    <s v="Estats Units"/>
    <s v="Espanya"/>
    <s v="Croàcia"/>
    <s v="Suïssa"/>
    <s v="Turquia"/>
    <s v="Argentina"/>
    <s v="Portugal"/>
    <s v="Brasil"/>
    <s v="Alemanya"/>
    <s v="França"/>
    <s v="Anglaterra"/>
    <s v="Bèlgica"/>
    <s v="Espanya"/>
    <s v="Suïssa"/>
    <s v="Argentina"/>
    <s v="Alemanya"/>
    <s v="Anglaterra"/>
    <s v="Espanya"/>
    <s v="Argentina"/>
    <s v="Anglaterra"/>
    <s v="Espanya"/>
    <s v="Espanya"/>
    <m/>
    <s v="Lamine Yamal"/>
    <s v="Mikel Oyarzabal"/>
    <n v="23"/>
    <n v="14"/>
    <n v="10"/>
    <n v="7"/>
    <n v="0"/>
    <n v="0"/>
    <n v="0"/>
    <n v="0"/>
    <n v="0"/>
    <n v="2"/>
    <n v="0"/>
    <n v="56"/>
  </r>
  <r>
    <x v="20"/>
    <s v="Obres"/>
    <s v="Mèxic"/>
    <s v="Suïssa"/>
    <s v="Brasil"/>
    <s v="Estats Units"/>
    <s v="Alemanya"/>
    <s v="Països Baixos"/>
    <s v="Bèlgica"/>
    <s v="Espanya"/>
    <s v="França"/>
    <s v="Argentina"/>
    <s v="Colòmbia"/>
    <s v="Anglaterra"/>
    <s v="República Txeca"/>
    <s v="Canadà"/>
    <s v="Marroc"/>
    <s v="Turquia"/>
    <s v="Equador"/>
    <s v="Japó"/>
    <s v="Egipte"/>
    <s v="Uruguai"/>
    <s v="Noruega"/>
    <s v="Àustria"/>
    <s v="Portugal"/>
    <s v="Croàcia"/>
    <s v="Corea del Sud"/>
    <s v="Bosnia i Hercegovina"/>
    <s v="Escòcia"/>
    <s v="Paraguai"/>
    <s v="Costa d'Ivori"/>
    <s v="Suècia"/>
    <s v="Nova Zelanda"/>
    <s v="Aràbia Saudita"/>
    <s v="Senegal"/>
    <s v="Algèria"/>
    <s v="RD Congo"/>
    <s v="Panamà"/>
    <s v="Brasil"/>
    <s v="Argentina"/>
    <s v="Espanya"/>
    <s v="Marroc"/>
    <s v="Colòmbia"/>
    <s v="França"/>
    <s v="Alemanya"/>
    <s v="Portugal"/>
    <s v="Anglaterra"/>
    <s v="Països Baixos"/>
    <s v="Bèlgica"/>
    <s v="Uruguai"/>
    <s v="Japó"/>
    <s v="Croàcia"/>
    <s v="Estats Units"/>
    <s v="Mèxic"/>
    <s v="Argentina"/>
    <s v="França"/>
    <s v="Espanya"/>
    <s v="Països Baixos"/>
    <s v="Anglaterra"/>
    <s v="Brasil"/>
    <s v="Portugal"/>
    <s v="Uruguai"/>
    <s v="Argentina"/>
    <s v="França"/>
    <s v="Països Baixos"/>
    <s v="Espanya"/>
    <s v="Espanya"/>
    <s v="Argentina"/>
    <s v="Espanya"/>
    <m/>
    <s v="Pedri"/>
    <s v="Julián Álvarez"/>
    <n v="24"/>
    <n v="17"/>
    <n v="12"/>
    <n v="7"/>
    <n v="0"/>
    <n v="0"/>
    <n v="0"/>
    <n v="0"/>
    <n v="0"/>
    <n v="0"/>
    <n v="0"/>
    <n v="60"/>
  </r>
  <r>
    <x v="21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República Txeca"/>
    <s v="Bosnia i Hercegovina"/>
    <s v="Marroc"/>
    <s v="Paraguai"/>
    <s v="Equador"/>
    <s v="Japó"/>
    <s v="Egipte"/>
    <s v="Uruguai"/>
    <s v="Noruega"/>
    <s v="Àustria"/>
    <s v="Colòmbia"/>
    <s v="Croàcia"/>
    <s v="Corea del Sud"/>
    <s v="Canadà"/>
    <s v="Escòcia"/>
    <s v="Estats Units"/>
    <s v="Costa d'Ivori"/>
    <s v="Suècia"/>
    <s v="Iran"/>
    <s v="Aràbia Saudita"/>
    <s v="Senegal"/>
    <s v="Algèria"/>
    <s v="RD Congo"/>
    <s v="Ghana"/>
    <s v="Alemanya"/>
    <s v="França"/>
    <s v="República Txeca"/>
    <s v="Països Baixos"/>
    <s v="Colòmbia"/>
    <s v="Espanya"/>
    <s v="Turquia"/>
    <s v="Bèlgica"/>
    <s v="Brasil"/>
    <s v="Noruega"/>
    <s v="Escòcia"/>
    <s v="Anglaterra"/>
    <s v="Argentina"/>
    <s v="Egipte"/>
    <s v="Suïssa"/>
    <s v="Portugal"/>
    <s v="França"/>
    <s v="Països Baixos"/>
    <s v="Espanya"/>
    <s v="Turquia"/>
    <s v="Brasil"/>
    <s v="Anglaterra"/>
    <s v="Argentina"/>
    <s v="Portugal"/>
    <s v="França"/>
    <s v="Espanya"/>
    <s v="Anglaterra"/>
    <s v="Portugal"/>
    <s v="Espanya"/>
    <s v="Portugal"/>
    <s v="Espanya"/>
    <s v="2026-01-03"/>
    <s v="Lamine Yamal"/>
    <s v="Mikel Oyarzabal"/>
    <n v="21"/>
    <n v="15"/>
    <n v="14.5"/>
    <n v="5"/>
    <n v="0"/>
    <n v="0"/>
    <n v="0"/>
    <n v="0"/>
    <n v="0"/>
    <n v="2"/>
    <n v="0"/>
    <n v="57.5"/>
  </r>
  <r>
    <x v="22"/>
    <s v="Obres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cote d'ivoire"/>
    <s v="Japó"/>
    <s v="Egipte"/>
    <s v="Uruguai"/>
    <s v="Senegal"/>
    <s v="Àustria"/>
    <s v="Colòmbia"/>
    <s v="Croàcia"/>
    <s v="República Txeca"/>
    <s v="Bosnia i Hercegovina"/>
    <s v="Escòcia"/>
    <s v="Austràlia"/>
    <s v="Equador"/>
    <s v="Suècia"/>
    <s v="Iran"/>
    <s v="Aràbia Saudita"/>
    <s v="Noruega"/>
    <s v="Algèria"/>
    <s v="RD Congo"/>
    <s v="Ghana"/>
    <s v="Alemanya"/>
    <s v="França"/>
    <s v="Corea del Sud"/>
    <s v="Marroc"/>
    <s v="Croàcia"/>
    <s v="Espanya"/>
    <s v="Turquia"/>
    <s v="Bèlgica"/>
    <s v="Brasil"/>
    <s v="Senegal"/>
    <s v="Mèxic"/>
    <s v="Anglaterra"/>
    <s v="Argentina"/>
    <s v="Estats Units"/>
    <s v="Suïssa"/>
    <s v="Portugal"/>
    <s v="França"/>
    <s v="Marroc"/>
    <s v="Espanya"/>
    <s v="Bèlgica"/>
    <s v="Brasil"/>
    <s v="Anglaterra"/>
    <s v="Argentina"/>
    <s v="Portugal"/>
    <s v="França"/>
    <s v="Espanya"/>
    <s v="Argentina"/>
    <s v="Anglaterra"/>
    <s v="Espanya"/>
    <s v="Anglaterra"/>
    <s v="Espanya"/>
    <s v="2026-01-03"/>
    <s v="Lamine Yamal"/>
    <s v="Harry Kane"/>
    <n v="21"/>
    <n v="15"/>
    <n v="13"/>
    <n v="7"/>
    <n v="0"/>
    <n v="0"/>
    <n v="0"/>
    <n v="0"/>
    <n v="0"/>
    <n v="5"/>
    <n v="0"/>
    <n v="61"/>
  </r>
  <r>
    <x v="23"/>
    <s v="Compres"/>
    <s v="Mèxic"/>
    <s v="Suïssa"/>
    <s v="Marroc"/>
    <s v="Turquia"/>
    <s v="Equador"/>
    <s v="Països Baixos"/>
    <s v="Bèlgica"/>
    <s v="Espanya"/>
    <s v="França"/>
    <s v="Argentina"/>
    <s v="Portugal"/>
    <s v="Anglaterra"/>
    <s v="Corea del Sud"/>
    <s v="Canadà"/>
    <s v="Brasil"/>
    <s v="Estats Units"/>
    <s v="Alemanya"/>
    <s v="Japó"/>
    <s v="Egipte"/>
    <s v="Uruguai"/>
    <s v="Senegal"/>
    <s v="Àustria"/>
    <s v="Colòmbia"/>
    <s v="Croàcia"/>
    <s v="República Txeca"/>
    <s v="Bosnia i Hercegovina"/>
    <s v="Escòcia"/>
    <s v="Austràlia"/>
    <s v="Costa d'Ivori"/>
    <s v="Suècia"/>
    <s v="Iran"/>
    <s v="Aràbia Saudita"/>
    <s v="Noruega"/>
    <s v="Algèria"/>
    <s v="RD Congo"/>
    <s v="Ghana"/>
    <s v="Equador"/>
    <s v="França"/>
    <s v="Canadà"/>
    <s v="Brasil"/>
    <s v="Colòmbia"/>
    <s v="Espanya"/>
    <s v="Turquia"/>
    <s v="Bèlgica"/>
    <s v="Marroc"/>
    <s v="Alemanya"/>
    <s v="Mèxic"/>
    <s v="Anglaterra"/>
    <s v="Argentina"/>
    <s v="Egipte"/>
    <s v="Suïssa"/>
    <s v="Portugal"/>
    <s v="França"/>
    <s v="Brasil"/>
    <s v="Espanya"/>
    <s v="Turquia"/>
    <s v="Marroc"/>
    <s v="Anglaterra"/>
    <s v="Argentina"/>
    <s v="Portugal"/>
    <s v="França"/>
    <s v="Espanya"/>
    <s v="Marroc"/>
    <s v="Portugal"/>
    <s v="Espanya"/>
    <s v="Portugal"/>
    <s v="Espanya"/>
    <s v="1-3"/>
    <s v="Lamine Yamal"/>
    <s v="Kylian Mbappé"/>
    <n v="19"/>
    <n v="15"/>
    <n v="12"/>
    <n v="7"/>
    <n v="0"/>
    <n v="0"/>
    <n v="0"/>
    <n v="0"/>
    <n v="0"/>
    <n v="6"/>
    <n v="0"/>
    <n v="59"/>
  </r>
  <r>
    <x v="24"/>
    <s v="Direcció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Sud-àfrica"/>
    <s v="Qatar"/>
    <s v="Marroc"/>
    <s v="Paraguai"/>
    <s v="Equador"/>
    <s v="Japó"/>
    <s v="Iran"/>
    <s v="Uruguai"/>
    <s v="Senegal"/>
    <s v="Algèria"/>
    <s v="Colòmbia"/>
    <s v="Croàcia"/>
    <s v="Corea del Sud"/>
    <s v="Bosnia i Hercegovina"/>
    <s v="Escòcia"/>
    <s v="Turquia"/>
    <s v="Costa d'Ivori"/>
    <s v="Suècia"/>
    <s v="Egipte"/>
    <s v="Aràbia Saudita"/>
    <s v="Noruega"/>
    <s v="Àustria"/>
    <s v="RD Congo"/>
    <s v="Ghana"/>
    <s v="Mèxic"/>
    <s v="Canadà"/>
    <s v="Brasil"/>
    <s v="Estats Units"/>
    <s v="Alemanya"/>
    <s v="Països Baixos"/>
    <s v="Bèlgica"/>
    <s v="Espanya"/>
    <s v="França"/>
    <s v="Argentina"/>
    <s v="Portugal"/>
    <s v="Anglaterra"/>
    <s v="Colòmbia"/>
    <s v="Marroc"/>
    <s v="Noruega"/>
    <s v="Suècia"/>
    <s v="Espanya"/>
    <s v="França"/>
    <s v="Argentina"/>
    <s v="Portugal"/>
    <s v="Brasil"/>
    <s v="Alemanya"/>
    <s v="Anglaterra"/>
    <s v="Països Baixos"/>
    <s v="Espanya"/>
    <s v="França"/>
    <s v="Argentina"/>
    <s v="Portugal"/>
    <s v="Espanya"/>
    <s v="Argentina"/>
    <s v="Argentina"/>
    <s v="2026-01-02"/>
    <s v="Lamine Yamal"/>
    <s v="Kylian Mbappé"/>
    <n v="22"/>
    <n v="13"/>
    <n v="11"/>
    <n v="9"/>
    <n v="0"/>
    <n v="0"/>
    <n v="0"/>
    <n v="0"/>
    <n v="0"/>
    <n v="6"/>
    <n v="0"/>
    <n v="61"/>
  </r>
  <r>
    <x v="25"/>
    <s v="Obres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Qatar"/>
    <s v="Marroc"/>
    <s v="Turquia"/>
    <s v="Equador"/>
    <s v="Japó"/>
    <s v="Egipte"/>
    <s v="Uruguai"/>
    <s v="Senegal"/>
    <s v="Àustria"/>
    <s v="Colòmbia"/>
    <s v="Croàcia"/>
    <s v="República Txeca"/>
    <s v="Canadà"/>
    <s v="Escòcia"/>
    <s v="Austràlia"/>
    <s v="Costa d'Ivori"/>
    <s v="Suècia"/>
    <s v="Iran"/>
    <s v="Aràbia Saudita"/>
    <s v="Noruega"/>
    <s v="Algèria"/>
    <s v="Uzbekistan"/>
    <s v="Ghana"/>
    <s v="Mèxic"/>
    <s v="Marroc"/>
    <s v="Brasil"/>
    <s v="Estats Units"/>
    <s v="Alemanya"/>
    <s v="Països Baixos"/>
    <s v="Bèlgica"/>
    <s v="Espanya"/>
    <s v="França"/>
    <s v="Argentina"/>
    <s v="Portugal"/>
    <s v="Anglaterra"/>
    <s v="Japó"/>
    <s v="Uruguai"/>
    <s v="Colòmbia"/>
    <s v="Croàcia"/>
    <s v="Brasil"/>
    <s v="Alemanya"/>
    <s v="Països Baixos"/>
    <s v="Espanya"/>
    <s v="França"/>
    <s v="Argentina"/>
    <s v="Portugal"/>
    <s v="Anglaterra"/>
    <s v="Brasil"/>
    <s v="Espanya"/>
    <s v="Argentina"/>
    <s v="Anglaterra"/>
    <s v="Espanya"/>
    <s v="Argentina"/>
    <s v="Espanya"/>
    <m/>
    <s v="Lamine Yamal"/>
    <s v="Lamine Yamal"/>
    <n v="23"/>
    <n v="13"/>
    <n v="11"/>
    <n v="7"/>
    <n v="0"/>
    <n v="0"/>
    <n v="0"/>
    <n v="0"/>
    <n v="0"/>
    <n v="1"/>
    <n v="0"/>
    <n v="55"/>
  </r>
  <r>
    <x v="26"/>
    <s v="Obres"/>
    <s v="Mèxic"/>
    <s v="Suïssa"/>
    <s v="Brasil"/>
    <s v="Turquia"/>
    <s v="Alemanya"/>
    <s v="Països Baixos"/>
    <s v="Bèlgica"/>
    <s v="Espanya"/>
    <s v="França"/>
    <s v="Argentina"/>
    <s v="Colòmbia"/>
    <s v="Anglaterra"/>
    <s v="República Txeca"/>
    <s v="Canadà"/>
    <s v="Marroc"/>
    <s v="Paraguai"/>
    <s v="Costa d'Ivori"/>
    <s v="Suècia"/>
    <s v="Nova Zelanda"/>
    <s v="Uruguai"/>
    <s v="Senegal"/>
    <s v="Àustria"/>
    <s v="Portugal"/>
    <s v="Croàcia"/>
    <s v="Corea del Sud"/>
    <s v="Bosnia i Hercegovina"/>
    <s v="Escòcia"/>
    <s v="Estats Units"/>
    <s v="Equador"/>
    <s v="Japó"/>
    <s v="Egipte"/>
    <s v="Aràbia Saudita"/>
    <s v="Noruega"/>
    <s v="Algèria"/>
    <s v="RD Congo"/>
    <s v="Ghana"/>
    <s v="Mèxic"/>
    <s v="Marroc"/>
    <s v="Alemanya"/>
    <s v="Portugal"/>
    <s v="França"/>
    <s v="Uruguai"/>
    <s v="Bèlgica"/>
    <s v="Suïssa"/>
    <s v="Brasil"/>
    <s v="Països Baixos"/>
    <s v="Espanya"/>
    <s v="Argentina"/>
    <s v="Suècia"/>
    <s v="Anglaterra"/>
    <s v="Canadà"/>
    <s v="Colòmbia"/>
    <s v="Mèxic"/>
    <s v="Alemanya"/>
    <s v="França"/>
    <s v="Bèlgica"/>
    <s v="Brasil"/>
    <s v="Països Baixos"/>
    <s v="Argentina"/>
    <s v="Anglaterra"/>
    <s v="Alemanya"/>
    <s v="França"/>
    <s v="Brasil"/>
    <s v="Argentina"/>
    <s v="Alemanya"/>
    <s v="Brasil"/>
    <s v="Brasil"/>
    <m/>
    <s v="Vinícius Júnior"/>
    <s v="Vinícius Júnior"/>
    <n v="22"/>
    <n v="15"/>
    <n v="13"/>
    <n v="7"/>
    <n v="0"/>
    <n v="0"/>
    <n v="0"/>
    <n v="0"/>
    <n v="0"/>
    <n v="4"/>
    <n v="0"/>
    <n v="61"/>
  </r>
  <r>
    <x v="27"/>
    <s v="Obres"/>
    <s v="Corea del Sud"/>
    <s v="Suïssa"/>
    <s v="Brasil"/>
    <s v="Paraguai"/>
    <s v="Alemanya"/>
    <s v="Països Baixos"/>
    <s v="Egipte"/>
    <s v="Espanya"/>
    <s v="França"/>
    <s v="Argentina"/>
    <s v="Colòmbia"/>
    <s v="Croàcia"/>
    <s v="República Txeca"/>
    <s v="Bosnia i Hercegovina"/>
    <s v="Marroc"/>
    <s v="Turquia"/>
    <s v="Equador"/>
    <s v="Japó"/>
    <s v="Bèlgica"/>
    <s v="Uruguai"/>
    <s v="Noruega"/>
    <s v="Algèria"/>
    <s v="Portugal"/>
    <s v="Anglaterra"/>
    <s v="Sud-àfrica"/>
    <s v="Canadà"/>
    <s v="Haití"/>
    <s v="Estats Units"/>
    <s v="Costa d'Ivori"/>
    <s v="Suècia"/>
    <s v="Nova Zelanda"/>
    <s v="Cap Verd"/>
    <s v="Senegal"/>
    <s v="Àustria"/>
    <s v="RD Congo"/>
    <s v="Ghana"/>
    <s v="Corea del Sud"/>
    <s v="Uruguai"/>
    <s v="Brasil"/>
    <s v="Paraguai"/>
    <s v="Alemanya"/>
    <s v="Països Baixos"/>
    <s v="Egipte"/>
    <s v="Espanya"/>
    <s v="França"/>
    <s v="Argentina"/>
    <s v="Colòmbia"/>
    <s v="Croàcia"/>
    <s v="Portugal"/>
    <s v="Anglaterra"/>
    <s v="Noruega"/>
    <s v="Marroc"/>
    <s v="Espanya"/>
    <s v="França"/>
    <s v="Brasil"/>
    <s v="Alemanya"/>
    <s v="Argentina"/>
    <s v="Noruega"/>
    <s v="Croàcia"/>
    <s v="Països Baixos"/>
    <s v="Espanya"/>
    <s v="França"/>
    <s v="Argentina"/>
    <s v="Brasil"/>
    <s v="Espanya"/>
    <s v="Argentina"/>
    <s v="Espanya"/>
    <m/>
    <s v="Lamine Yamal"/>
    <s v="Kylian Mbappé"/>
    <n v="19"/>
    <n v="12"/>
    <n v="14"/>
    <n v="6"/>
    <n v="0"/>
    <n v="0"/>
    <n v="0"/>
    <n v="0"/>
    <n v="0"/>
    <n v="6"/>
    <n v="0"/>
    <n v="57"/>
  </r>
  <r>
    <x v="28"/>
    <s v="Estudis"/>
    <s v="Mèxic"/>
    <s v="Suïssa"/>
    <s v="Brasil"/>
    <s v="Paraguai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Japó"/>
    <s v="Egipte"/>
    <s v="Uruguai"/>
    <s v="Noruega"/>
    <s v="Algèria"/>
    <s v="Colòmbia"/>
    <s v="Croàcia"/>
    <s v="Sud-àfrica"/>
    <s v="Qatar"/>
    <s v="Escòcia"/>
    <s v="Turquia"/>
    <s v="Costa d'Ivori"/>
    <s v="Suècia"/>
    <s v="Iran"/>
    <s v="Aràbia Saudita"/>
    <s v="Senegal"/>
    <s v="Àustria"/>
    <s v="RD Congo"/>
    <s v="Panamà"/>
    <s v="Alemanya"/>
    <s v="França"/>
    <s v="Corea del Sud"/>
    <s v="Marroc"/>
    <s v="Croàcia"/>
    <s v="Espanya"/>
    <s v="Paraguai"/>
    <s v="Bèlgica"/>
    <s v="Brasil"/>
    <s v="Noruega"/>
    <s v="Mèxic"/>
    <s v="Anglaterra"/>
    <s v="Argentina"/>
    <s v="Egipte"/>
    <s v="Suïssa"/>
    <s v="Portugal"/>
    <s v="França"/>
    <s v="Marroc"/>
    <s v="Espanya"/>
    <s v="Bèlgica"/>
    <s v="Brasil"/>
    <s v="Anglaterra"/>
    <s v="Argentina"/>
    <s v="Portugal"/>
    <s v="França"/>
    <s v="Espanya"/>
    <s v="Brasil"/>
    <s v="Argentina"/>
    <s v="Espanya"/>
    <s v="Argentina"/>
    <s v="Espanya"/>
    <s v="2026-01-02"/>
    <s v="Kylian Mbappé"/>
    <s v="Kylian Mbappé"/>
    <n v="22"/>
    <n v="16"/>
    <n v="10"/>
    <n v="8"/>
    <n v="0"/>
    <n v="0"/>
    <n v="0"/>
    <n v="0"/>
    <n v="0"/>
    <n v="6"/>
    <n v="0"/>
    <n v="62"/>
  </r>
  <r>
    <x v="29"/>
    <s v="Manteniment"/>
    <s v="Mèxic"/>
    <s v="Suïssa"/>
    <s v="Brasil"/>
    <s v="Turquia"/>
    <s v="Equador"/>
    <s v="Països Baixos"/>
    <s v="Bèlgica"/>
    <s v="Espanya"/>
    <s v="França"/>
    <s v="Argentina"/>
    <s v="Portugal"/>
    <s v="Anglaterra"/>
    <s v="República Txeca"/>
    <s v="Bosnia i Hercegovina"/>
    <s v="Marroc"/>
    <s v="Paraguai"/>
    <s v="Alemanya"/>
    <s v="Japó"/>
    <s v="Egipte"/>
    <s v="Uruguai"/>
    <s v="Noruega"/>
    <s v="Àustria"/>
    <s v="Colòmbia"/>
    <s v="Croàcia"/>
    <s v="Corea del Sud"/>
    <s v="Canadà"/>
    <s v="Escòcia"/>
    <s v="Estats Units"/>
    <s v="Costa d'Ivori"/>
    <s v="Suècia"/>
    <s v="Iran"/>
    <s v="Aràbia Saudita"/>
    <s v="Senegal"/>
    <s v="Algèria"/>
    <s v="RD Congo"/>
    <s v="Ghana"/>
    <s v="Equador"/>
    <s v="França"/>
    <s v="Bosnia i Hercegovina"/>
    <s v="Països Baixos"/>
    <s v="Colòmbia"/>
    <s v="Espanya"/>
    <s v="Turquia"/>
    <s v="Senegal"/>
    <s v="Brasil"/>
    <s v="Noruega"/>
    <s v="Mèxic"/>
    <s v="Anglaterra"/>
    <s v="Argentina"/>
    <s v="Paraguai"/>
    <s v="Suïssa"/>
    <s v="Portugal"/>
    <s v="França"/>
    <s v="Països Baixos"/>
    <s v="Espanya"/>
    <s v="Senegal"/>
    <s v="Noruega"/>
    <s v="Anglaterra"/>
    <s v="Argentina"/>
    <s v="Portugal"/>
    <s v="França"/>
    <s v="Espanya"/>
    <s v="Anglaterra"/>
    <s v="Portugal"/>
    <s v="Espanya"/>
    <s v="Portugal"/>
    <s v="Espanya"/>
    <m/>
    <s v="Lamine Yamal"/>
    <s v="Mikel Oyarzabal"/>
    <n v="20"/>
    <n v="15"/>
    <n v="14.5"/>
    <n v="6"/>
    <n v="0"/>
    <n v="0"/>
    <n v="0"/>
    <n v="0"/>
    <n v="0"/>
    <n v="2"/>
    <n v="0"/>
    <n v="57.5"/>
  </r>
  <r>
    <x v="30"/>
    <s v="Direcció"/>
    <s v="Mèxic"/>
    <s v="Suïssa"/>
    <s v="Marroc"/>
    <s v="Turquia"/>
    <s v="Alemanya"/>
    <s v="Suècia"/>
    <s v="Egipte"/>
    <s v="Espanya"/>
    <s v="França"/>
    <s v="Argentina"/>
    <s v="Portugal"/>
    <s v="Anglaterra"/>
    <s v="República Txeca"/>
    <s v="Canadà"/>
    <s v="Brasil"/>
    <s v="Estats Units"/>
    <s v="Equador"/>
    <s v="Països Baixos"/>
    <s v="Bèlgica"/>
    <s v="Uruguai"/>
    <s v="Noruega"/>
    <s v="Àustria"/>
    <s v="Colòmbia"/>
    <s v="Croàcia"/>
    <s v="Corea del Sud"/>
    <s v="Qatar"/>
    <s v="Escòcia"/>
    <s v="Paraguai"/>
    <s v="Costa d'Ivori"/>
    <s v="Japó"/>
    <s v="Iran"/>
    <s v="Aràbia Saudita"/>
    <s v="Senegal"/>
    <s v="Algèria"/>
    <s v="RD Congo"/>
    <s v="Ghana"/>
    <s v="Espanya"/>
    <s v="França"/>
    <s v="Anglaterra"/>
    <s v="Brasil"/>
    <s v="Portugal"/>
    <s v="Argentina"/>
    <s v="Alemanya"/>
    <s v="Països Baixos"/>
    <s v="Turquia"/>
    <s v="Colòmbia"/>
    <s v="Uruguai"/>
    <s v="Marroc"/>
    <s v="Estats Units"/>
    <s v="Suècia"/>
    <s v="Mèxic"/>
    <s v="Croàcia"/>
    <s v="Espanya"/>
    <s v="França"/>
    <s v="Anglaterra"/>
    <s v="Brasil"/>
    <s v="Portugal"/>
    <s v="Argentina"/>
    <s v="Colòmbia"/>
    <s v="Marroc"/>
    <s v="Espanya"/>
    <s v="França"/>
    <s v="Argentina"/>
    <s v="Marroc"/>
    <s v="Argentina"/>
    <s v="França"/>
    <s v="França"/>
    <m/>
    <s v="Doué"/>
    <s v="Kylian Mbappé"/>
    <n v="18"/>
    <n v="14"/>
    <n v="13.5"/>
    <n v="6"/>
    <n v="0"/>
    <n v="0"/>
    <n v="0"/>
    <n v="0"/>
    <n v="0"/>
    <n v="6"/>
    <n v="0"/>
    <n v="57.5"/>
  </r>
  <r>
    <x v="31"/>
    <s v="Manteniment"/>
    <s v="Mèxic"/>
    <s v="Suïssa"/>
    <s v="Marroc"/>
    <s v="Turquia"/>
    <s v="Alemanya"/>
    <s v="Països Baixos"/>
    <s v="Bèlgica"/>
    <s v="Espanya"/>
    <s v="França"/>
    <s v="Argentina"/>
    <s v="Portugal"/>
    <s v="Anglaterra"/>
    <s v="Corea del Sud"/>
    <s v="Canadà"/>
    <s v="Brasil"/>
    <s v="Estats Units"/>
    <s v="Costa d'Ivori"/>
    <s v="Japó"/>
    <s v="Egipte"/>
    <s v="Uruguai"/>
    <s v="Senegal"/>
    <s v="Algèria"/>
    <s v="Colòmbia"/>
    <s v="Croàcia"/>
    <s v="República Txeca"/>
    <s v="Bosnia i Hercegovina"/>
    <s v="Escòcia"/>
    <s v="Paraguai"/>
    <s v="Equador"/>
    <s v="Suècia"/>
    <s v="Iran"/>
    <s v="Aràbia Saudita"/>
    <s v="Noruega"/>
    <s v="Àustria"/>
    <s v="RD Congo"/>
    <s v="Ghana"/>
    <s v="Canadà"/>
    <s v="Marroc"/>
    <s v="Alemanya"/>
    <s v="Brasil"/>
    <s v="Costa d'Ivori"/>
    <s v="França"/>
    <s v="Noruega"/>
    <s v="Anglaterra"/>
    <s v="Bèlgica"/>
    <s v="Turquia"/>
    <s v="Espanya"/>
    <s v="Colòmbia"/>
    <s v="Suïssa"/>
    <s v="Estats Units"/>
    <s v="Argentina"/>
    <s v="Portugal"/>
    <s v="Alemanya"/>
    <s v="Marroc"/>
    <s v="França"/>
    <s v="Anglaterra"/>
    <s v="Espanya"/>
    <s v="Bèlgica"/>
    <s v="Portugal"/>
    <s v="Argentina"/>
    <s v="Alemanya"/>
    <s v="Espanya"/>
    <s v="França"/>
    <s v="Portugal"/>
    <s v="Espanya"/>
    <s v="França"/>
    <s v="Espanya"/>
    <m/>
    <s v="Lamine Yamal"/>
    <s v="Harry Kane"/>
    <n v="20"/>
    <n v="15"/>
    <n v="13"/>
    <n v="8"/>
    <n v="0"/>
    <n v="0"/>
    <n v="0"/>
    <n v="0"/>
    <n v="0"/>
    <n v="5"/>
    <n v="0"/>
    <n v="61"/>
  </r>
  <r>
    <x v="32"/>
    <s v="Obres"/>
    <s v="Mèxic"/>
    <s v="Suïssa"/>
    <s v="Marroc"/>
    <s v="Paraguai"/>
    <s v="Alemanya"/>
    <s v="Japó"/>
    <s v="Bèlgica"/>
    <s v="Espanya"/>
    <s v="França"/>
    <s v="Argentina"/>
    <s v="Colòmbia"/>
    <s v="Croàcia"/>
    <s v="Corea del Sud"/>
    <s v="Canadà"/>
    <s v="Brasil"/>
    <s v="Turquia"/>
    <s v="Equador"/>
    <s v="Suècia"/>
    <s v="Egipte"/>
    <s v="Uruguai"/>
    <s v="Senegal"/>
    <s v="Àustria"/>
    <s v="Portugal"/>
    <s v="Anglaterra"/>
    <s v="República Txeca"/>
    <s v="Bosnia i Hercegovina"/>
    <s v="Escòcia"/>
    <s v="Estats Units"/>
    <s v="Costa d'Ivori"/>
    <s v="Països Baixos"/>
    <s v="Iran"/>
    <s v="Aràbia Saudita"/>
    <s v="Noruega"/>
    <s v="Algèria"/>
    <s v="RD Congo"/>
    <s v="Ghana"/>
    <s v="Alemanya"/>
    <s v="França"/>
    <s v="Canadà"/>
    <s v="Brasil"/>
    <s v="Portugal"/>
    <s v="Espanya"/>
    <s v="Països Baixos"/>
    <s v="Bèlgica"/>
    <s v="Marroc"/>
    <s v="Equador"/>
    <s v="Mèxic"/>
    <s v="Croàcia"/>
    <s v="Argentina"/>
    <s v="Turquia"/>
    <s v="Suïssa"/>
    <s v="Colòmbia"/>
    <s v="França"/>
    <s v="Brasil"/>
    <s v="Espanya"/>
    <s v="Bèlgica"/>
    <s v="Marroc"/>
    <s v="Mèxic"/>
    <s v="Argentina"/>
    <s v="Colòmbia"/>
    <s v="França"/>
    <s v="Espanya"/>
    <s v="Marroc"/>
    <s v="Argentina"/>
    <s v="Espanya"/>
    <s v="Marroc"/>
    <s v="Espanya"/>
    <s v="2026-01-02"/>
    <s v="Lamine Yamal"/>
    <s v="Kylian Mbappé"/>
    <n v="20"/>
    <n v="13"/>
    <n v="11"/>
    <n v="6"/>
    <n v="0"/>
    <n v="0"/>
    <n v="0"/>
    <n v="0"/>
    <n v="0"/>
    <n v="6"/>
    <n v="0"/>
    <n v="56"/>
  </r>
  <r>
    <x v="33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Japó"/>
    <s v="Egipte"/>
    <s v="Uruguai"/>
    <s v="Noruega"/>
    <s v="Àustria"/>
    <s v="Colòmbia"/>
    <s v="Croàcia"/>
    <s v="República Txeca"/>
    <s v="Bosnia i Hercegovina"/>
    <s v="Escòcia"/>
    <s v="Austràlia"/>
    <s v="Costa d'Ivori"/>
    <s v="Tunísia"/>
    <s v="Nova Zelanda"/>
    <s v="Aràbia Saudita"/>
    <s v="Senegal"/>
    <s v="Jordània"/>
    <s v="RD Congo"/>
    <s v="Panamà"/>
    <s v="Mèxic"/>
    <s v="Suïssa"/>
    <s v="Brasil"/>
    <s v="Turquia"/>
    <s v="Alemanya"/>
    <s v="Països Baixos"/>
    <s v="Bèlgica"/>
    <s v="Espanya"/>
    <s v="França"/>
    <s v="Argentina"/>
    <s v="Portugal"/>
    <s v="Anglaterra"/>
    <s v="Marroc"/>
    <s v="Croàcia"/>
    <s v="Japó"/>
    <s v="Noruega"/>
    <s v="Espanya"/>
    <s v="França"/>
    <s v="Marroc"/>
    <s v="Argentina"/>
    <s v="Portugal"/>
    <s v="Brasil"/>
    <s v="Anglaterra"/>
    <s v="Alemanya"/>
    <s v="Espanya"/>
    <s v="França"/>
    <s v="Brasil"/>
    <s v="Argentina"/>
    <s v="Espanya"/>
    <s v="França"/>
    <s v="Espanya"/>
    <m/>
    <s v="Lamine Yamal"/>
    <s v="Kylian Mbappé"/>
    <n v="21"/>
    <n v="17"/>
    <n v="6.5"/>
    <n v="7"/>
    <n v="0"/>
    <n v="0"/>
    <n v="0"/>
    <n v="0"/>
    <n v="0"/>
    <n v="6"/>
    <n v="0"/>
    <n v="57.5"/>
  </r>
  <r>
    <x v="34"/>
    <s v="Compres"/>
    <s v="Corea del Sud"/>
    <s v="Suïssa"/>
    <s v="Brasil"/>
    <s v="Turquia"/>
    <s v="Alemanya"/>
    <s v="Països Baixos"/>
    <s v="Bèlgica"/>
    <s v="Espanya"/>
    <s v="França"/>
    <s v="Argentina"/>
    <s v="Portugal"/>
    <s v="Croàcia"/>
    <s v="República Txeca"/>
    <s v="Bosnia i Hercegovina"/>
    <s v="Marroc"/>
    <s v="Paraguai"/>
    <s v="Equador"/>
    <s v="Suècia"/>
    <s v="Egipte"/>
    <s v="Uruguai"/>
    <s v="Noruega"/>
    <s v="Àustria"/>
    <s v="Colòmbia"/>
    <s v="Anglaterra"/>
    <s v="Mèxic"/>
    <s v="Canadà"/>
    <s v="Escòcia"/>
    <s v="Estats Units"/>
    <s v="Costa d'Ivori"/>
    <s v="Japó"/>
    <s v="Iran"/>
    <s v="Aràbia Saudita"/>
    <s v="Senegal"/>
    <s v="Algèria"/>
    <s v="RD Congo"/>
    <s v="Ghana"/>
    <s v="Equador"/>
    <s v="Espanya"/>
    <s v="Japó"/>
    <s v="Brasil"/>
    <s v="Marroc"/>
    <s v="Corea del Sud"/>
    <s v="Alemanya"/>
    <s v="Països Baixos"/>
    <s v="Bèlgica"/>
    <s v="Uruguai"/>
    <s v="França"/>
    <s v="Argentina"/>
    <s v="Portugal"/>
    <s v="Colòmbia"/>
    <s v="Anglaterra"/>
    <s v="Croàcia"/>
    <s v="França"/>
    <s v="Brasil"/>
    <s v="Espanya"/>
    <s v="Bèlgica"/>
    <s v="Argentina"/>
    <s v="Japó"/>
    <s v="Països Baixos"/>
    <s v="Equador"/>
    <s v="França"/>
    <s v="Brasil"/>
    <s v="Espanya"/>
    <s v="Argentina"/>
    <s v="Brasil"/>
    <s v="França"/>
    <s v="França"/>
    <m/>
    <s v="Julián Álvarez"/>
    <s v="Kylian Mbappé"/>
    <n v="18"/>
    <n v="13"/>
    <n v="14"/>
    <n v="5"/>
    <n v="0"/>
    <n v="0"/>
    <n v="0"/>
    <n v="0"/>
    <n v="0"/>
    <n v="6"/>
    <n v="0"/>
    <n v="56"/>
  </r>
  <r>
    <x v="35"/>
    <s v="Manteniment"/>
    <s v="Mèxic"/>
    <s v="Suïssa"/>
    <s v="Brasil"/>
    <s v="Turquia"/>
    <s v="Alemanya"/>
    <s v="Països Baixos"/>
    <s v="Bèlgica"/>
    <s v="Espanya"/>
    <s v="França"/>
    <s v="Argentina"/>
    <s v="Portugal"/>
    <s v="Anglaterra"/>
    <s v="República Txeca"/>
    <s v="Canadà"/>
    <s v="Marroc"/>
    <s v="Estats Units"/>
    <s v="Equador"/>
    <s v="Japó"/>
    <s v="Egipte"/>
    <s v="Uruguai"/>
    <s v="Senegal"/>
    <s v="Algèria"/>
    <s v="Colòmbia"/>
    <s v="Croàcia"/>
    <s v="Corea del Sud"/>
    <s v="Bosnia i Hercegovina"/>
    <s v="Escòcia"/>
    <s v="Austràlia"/>
    <s v="Costa d'Ivori"/>
    <s v="Suècia"/>
    <s v="Iran"/>
    <s v="Aràbia Saudita"/>
    <s v="Noruega"/>
    <s v="Àustria"/>
    <s v="Uzbekistan"/>
    <s v="Ghana"/>
    <s v="Espanya"/>
    <s v="Brasil"/>
    <s v="Marroc"/>
    <s v="Alemanya"/>
    <s v="Argentina"/>
    <s v="França"/>
    <s v="Portugal"/>
    <s v="Anglaterra"/>
    <s v="Croàcia"/>
    <s v="Colòmbia"/>
    <s v="Equador"/>
    <s v="Mèxic"/>
    <s v="Turquia"/>
    <s v="Països Baixos"/>
    <s v="Bèlgica"/>
    <s v="Senegal"/>
    <s v="Espanya"/>
    <s v="Brasil"/>
    <s v="Marroc"/>
    <s v="Alemanya"/>
    <s v="Argentina"/>
    <s v="França"/>
    <s v="Portugal"/>
    <s v="Anglaterra"/>
    <s v="Espanya"/>
    <s v="Brasil"/>
    <s v="França"/>
    <s v="Anglaterra"/>
    <s v="Espanya"/>
    <s v="Brasil"/>
    <s v="Espanya"/>
    <m/>
    <s v="Lamine Yamal"/>
    <s v="Kylian Mbappé"/>
    <n v="21"/>
    <n v="15"/>
    <n v="9.5"/>
    <n v="6"/>
    <n v="0"/>
    <n v="0"/>
    <n v="0"/>
    <n v="0"/>
    <n v="0"/>
    <n v="6"/>
    <n v="0"/>
    <n v="57.5"/>
  </r>
  <r>
    <x v="36"/>
    <s v="Obres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Bosnia i Hercegovina"/>
    <s v="Marroc"/>
    <s v="Paraguai"/>
    <s v="Equador"/>
    <s v="Japó"/>
    <s v="Egipte"/>
    <s v="Uruguai"/>
    <s v="Noruega"/>
    <s v="Àustria"/>
    <s v="Colòmbia"/>
    <s v="Croàcia"/>
    <s v="republica checa"/>
    <s v="Qatar"/>
    <s v="Escòcia"/>
    <s v="Turquia"/>
    <s v="Costa d'Ivori"/>
    <s v="Suècia"/>
    <s v="Iran"/>
    <s v="Aràbia Saudita"/>
    <s v="Senegal"/>
    <s v="Algèria"/>
    <s v="Uzbekistan"/>
    <s v="Ghana"/>
    <s v="Alemanya"/>
    <s v="França"/>
    <s v="Corea del Sud"/>
    <s v="Marroc"/>
    <s v="Brasil"/>
    <s v="Noruega"/>
    <s v="Mèxic"/>
    <s v="Anglaterra"/>
    <s v="Argentina"/>
    <s v="Paraguai"/>
    <s v="Suïssa"/>
    <s v="Portugal"/>
    <s v="Bèlgica"/>
    <s v="Estats Units"/>
    <s v="Espanya"/>
    <s v="Colòmbia"/>
    <s v="Bèlgica"/>
    <s v="Espanya"/>
    <s v="Argentina"/>
    <s v="Portugal"/>
    <s v="Brasil"/>
    <s v="Alemanya"/>
    <s v="Marroc"/>
    <s v="Anglaterra"/>
    <s v="Alemanya"/>
    <s v="Espanya"/>
    <s v="Anglaterra"/>
    <s v="Argentina"/>
    <s v="Argentina"/>
    <s v="Alemanya"/>
    <s v="Argentina"/>
    <m/>
    <s v="Lionel Messi"/>
    <s v="Julián Álvarez"/>
    <n v="23"/>
    <n v="15"/>
    <n v="10"/>
    <n v="9"/>
    <n v="0"/>
    <n v="0"/>
    <n v="0"/>
    <n v="0"/>
    <n v="0"/>
    <n v="0"/>
    <n v="0"/>
    <n v="57"/>
  </r>
  <r>
    <x v="37"/>
    <s v="Administració"/>
    <s v="Corea del Sud"/>
    <s v="Suïssa"/>
    <s v="Brasil"/>
    <s v="Paraguai"/>
    <s v="Alemanya"/>
    <s v="Països Baixos"/>
    <s v="Egipte"/>
    <s v="Espanya"/>
    <s v="França"/>
    <s v="Argentina"/>
    <s v="Colòmbia"/>
    <s v="Croàcia"/>
    <s v="República Txeca"/>
    <s v="Bosnia i Hercegovina"/>
    <s v="Marroc"/>
    <s v="Turquia"/>
    <s v="Equador"/>
    <s v="Japó"/>
    <s v="Bèlgica"/>
    <s v="Uruguai"/>
    <s v="Noruega"/>
    <s v="Algèria"/>
    <s v="Portugal"/>
    <s v="Anglaterra"/>
    <s v="Sud-àfrica"/>
    <s v="Canadà"/>
    <s v="Haití"/>
    <s v="Estats Units"/>
    <s v="Costa d'Ivori"/>
    <s v="Suècia"/>
    <s v="Nova Zelanda"/>
    <s v="Cap Verd"/>
    <s v="Senegal"/>
    <s v="Àustria"/>
    <s v="RD Congo"/>
    <s v="Ghana"/>
    <s v="Corea del Sud"/>
    <s v="Uruguai"/>
    <s v="Brasil"/>
    <s v="Paraguai"/>
    <s v="Equador"/>
    <s v="Països Baixos"/>
    <s v="Egipte"/>
    <s v="Espanya"/>
    <s v="França"/>
    <s v="Argentina"/>
    <s v="Colòmbia"/>
    <s v="Croàcia"/>
    <s v="Portugal"/>
    <s v="Anglaterra"/>
    <s v="Noruega"/>
    <s v="Marroc"/>
    <s v="Espanya"/>
    <s v="França"/>
    <s v="Brasil"/>
    <s v="Equador"/>
    <s v="Argentina"/>
    <s v="Noruega"/>
    <s v="Croàcia"/>
    <s v="Països Baixos"/>
    <s v="Espanya"/>
    <s v="França"/>
    <s v="Argentina"/>
    <s v="Equador"/>
    <s v="Espanya"/>
    <s v="Equador"/>
    <s v="Equador"/>
    <m/>
    <s v="Erling Haaland"/>
    <s v="Harry Kane"/>
    <n v="19"/>
    <n v="12"/>
    <n v="14"/>
    <n v="6"/>
    <n v="0"/>
    <n v="0"/>
    <n v="0"/>
    <n v="0"/>
    <n v="0"/>
    <n v="5"/>
    <n v="0"/>
    <n v="56"/>
  </r>
  <r>
    <x v="38"/>
    <s v="Manteniment"/>
    <s v="Mèxic"/>
    <s v="Canadà"/>
    <s v="Brasil"/>
    <s v="Paraguai"/>
    <s v="Alemanya"/>
    <s v="Països Baixos"/>
    <s v="Bèlgica"/>
    <s v="Espanya"/>
    <s v="França"/>
    <s v="Argentina"/>
    <s v="Portugal"/>
    <s v="Anglaterra"/>
    <s v="Corea del Sud"/>
    <s v="Suïssa"/>
    <s v="Marroc"/>
    <s v="Estats Units"/>
    <s v="Equador"/>
    <s v="Japó"/>
    <s v="Egipte"/>
    <s v="Uruguai"/>
    <s v="Senegal"/>
    <s v="Àustria"/>
    <s v="Colòmbia"/>
    <s v="Croàcia"/>
    <s v="Sud-àfrica"/>
    <s v="Qatar"/>
    <s v="Escòcia"/>
    <s v="Turquia"/>
    <s v="Costa d'Ivori"/>
    <s v="Tunísia"/>
    <s v="Iran"/>
    <s v="Aràbia Saudita"/>
    <s v="Noruega"/>
    <s v="Algèria"/>
    <s v="RD Congo"/>
    <s v="Ghana"/>
    <s v="Brasil"/>
    <s v="Mèxic"/>
    <s v="Alemanya"/>
    <s v="Països Baixos"/>
    <s v="Espanya"/>
    <s v="França"/>
    <s v="Argentina"/>
    <s v="Portugal"/>
    <s v="Anglaterra"/>
    <s v="Marroc"/>
    <s v="Uruguai"/>
    <s v="Equador"/>
    <s v="Colòmbia"/>
    <s v="Bèlgica"/>
    <s v="Japó"/>
    <s v="Croàcia"/>
    <s v="Espanya"/>
    <s v="França"/>
    <s v="Portugal"/>
    <s v="Argentina"/>
    <s v="Anglaterra"/>
    <s v="Països Baixos"/>
    <s v="Brasil"/>
    <s v="Alemanya"/>
    <s v="Espanya"/>
    <s v="França"/>
    <s v="Argentina"/>
    <s v="Portugal"/>
    <s v="Espanya"/>
    <s v="Portugal"/>
    <s v="Espanya"/>
    <s v="3-1"/>
    <s v="Kylian Mbappé"/>
    <s v="Lamine Yamal"/>
    <n v="21"/>
    <n v="15"/>
    <n v="10"/>
    <n v="6"/>
    <n v="0"/>
    <n v="0"/>
    <n v="0"/>
    <n v="0"/>
    <n v="0"/>
    <n v="1"/>
    <n v="0"/>
    <n v="53"/>
  </r>
  <r>
    <x v="39"/>
    <s v="I+D"/>
    <s v="Mèxic"/>
    <s v="Canadà"/>
    <s v="Brasil"/>
    <s v="Paraguai"/>
    <s v="Alemanya"/>
    <s v="Països Baixos"/>
    <s v="Nova Zelanda"/>
    <s v="Espanya"/>
    <s v="França"/>
    <s v="Argentina"/>
    <s v="Portugal"/>
    <s v="Anglaterra"/>
    <s v="Sud-àfrica"/>
    <s v="Suïssa"/>
    <s v="Escòcia"/>
    <s v="Turquia"/>
    <s v="Equador"/>
    <s v="Suècia"/>
    <s v="Bèlgica"/>
    <s v="Uruguai"/>
    <s v="Noruega"/>
    <s v="Algèria"/>
    <s v="Colòmbia"/>
    <s v="Panamà"/>
    <s v="República Txeca"/>
    <s v="Qatar"/>
    <s v="Marroc"/>
    <s v="Austràlia"/>
    <s v="Costa d'Ivori"/>
    <s v="Japó"/>
    <s v="Egipte"/>
    <s v="Aràbia Saudita"/>
    <s v="Senegal"/>
    <s v="Àustria"/>
    <s v="RD Congo"/>
    <s v="Ghana"/>
    <s v="Brasil"/>
    <s v="Espanya"/>
    <s v="França"/>
    <s v="Argentina"/>
    <s v="Alemanya"/>
    <s v="Països Baixos"/>
    <s v="Anglaterra"/>
    <s v="Noruega"/>
    <s v="Uruguai"/>
    <s v="Ghana"/>
    <s v="Mèxic"/>
    <s v="Colòmbia"/>
    <s v="Senegal"/>
    <s v="Equador"/>
    <s v="Portugal"/>
    <s v="Panamà"/>
    <s v="Brasil"/>
    <s v="Espanya"/>
    <s v="França"/>
    <s v="Argentina"/>
    <s v="Alemanya"/>
    <s v="Països Baixos"/>
    <s v="Anglaterra"/>
    <s v="Noruega"/>
    <s v="Brasil"/>
    <s v="Espanya"/>
    <s v="França"/>
    <s v="Noruega"/>
    <s v="Brasil"/>
    <s v="Espanya"/>
    <s v="Brasil"/>
    <m/>
    <s v="Raphinha"/>
    <s v="Erling Haaland"/>
    <n v="19"/>
    <n v="10"/>
    <n v="12"/>
    <n v="5"/>
    <n v="0"/>
    <n v="0"/>
    <n v="0"/>
    <n v="0"/>
    <n v="0"/>
    <n v="5"/>
    <n v="0"/>
    <n v="51"/>
  </r>
  <r>
    <x v="40"/>
    <s v="Estudis"/>
    <s v="Mèxic"/>
    <s v="Suïssa"/>
    <s v="Brasil"/>
    <s v="Turquia"/>
    <s v="Alemanya"/>
    <s v="Països Baixos"/>
    <s v="Bèlgica"/>
    <s v="Espanya"/>
    <s v="França"/>
    <s v="Argentina"/>
    <s v="Portugal"/>
    <s v="Anglaterra"/>
    <s v="Corea del Sud"/>
    <s v="Canadà"/>
    <s v="Marroc"/>
    <s v="Estats Units"/>
    <s v="Equador"/>
    <s v="Japó"/>
    <s v="Egipte"/>
    <s v="Uruguai"/>
    <s v="Senegal"/>
    <s v="Algèria"/>
    <s v="Colòmbia"/>
    <s v="Croàcia"/>
    <s v="Sud-àfrica"/>
    <s v="Bosnia i Hercegovina"/>
    <s v="Escòcia"/>
    <s v="Austràlia"/>
    <s v="Costa d'Ivori"/>
    <s v="Suècia"/>
    <s v="Iran"/>
    <s v="Aràbia Saudita"/>
    <s v="Noruega"/>
    <s v="Jordània"/>
    <s v="Uzbekistan"/>
    <s v="Panamà"/>
    <s v="Alemanya"/>
    <s v="Brasil"/>
    <s v="Argentina"/>
    <s v="Espanya"/>
    <s v="Països Baixos"/>
    <s v="França"/>
    <s v="Anglaterra"/>
    <s v="Marroc"/>
    <s v="Colòmbia"/>
    <s v="Mèxic"/>
    <s v="Uruguai"/>
    <s v="Costa d'Ivori"/>
    <s v="Equador"/>
    <s v="Japó"/>
    <s v="Portugal"/>
    <s v="Croàcia"/>
    <s v="Argentina"/>
    <s v="Espanya"/>
    <s v="Portugal"/>
    <s v="França"/>
    <s v="Països Baixos"/>
    <s v="Anglaterra"/>
    <s v="Brasil"/>
    <s v="Colòmbia"/>
    <s v="Espanya"/>
    <s v="Argentina"/>
    <s v="França"/>
    <s v="Portugal"/>
    <s v="Espanya"/>
    <s v="França"/>
    <s v="França"/>
    <s v="2-0"/>
    <s v="Lamine Yamal"/>
    <s v="Kylian Mbappé"/>
    <n v="21"/>
    <n v="15"/>
    <n v="7"/>
    <n v="5"/>
    <n v="0"/>
    <n v="0"/>
    <n v="0"/>
    <n v="0"/>
    <n v="0"/>
    <n v="6"/>
    <n v="0"/>
    <n v="54"/>
  </r>
  <r>
    <x v="41"/>
    <s v="Manteniment"/>
    <s v="Mèxic"/>
    <s v="Suïssa"/>
    <s v="Brasil"/>
    <s v="Estats Units"/>
    <s v="Alemanya"/>
    <s v="Països Baixos"/>
    <s v="Bèlgica"/>
    <s v="Espanya"/>
    <s v="França"/>
    <s v="Argentina"/>
    <s v="Portugal"/>
    <s v="Anglaterra"/>
    <s v="Corea del Sud"/>
    <s v="Canadà"/>
    <s v="Marroc"/>
    <s v="Turquia"/>
    <s v="Equador"/>
    <s v="Japó"/>
    <s v="Egipte"/>
    <s v="Uruguai"/>
    <s v="Senegal"/>
    <s v="Àustria"/>
    <s v="Colòmbia"/>
    <s v="Croàcia"/>
    <s v="Sud-àfrica"/>
    <s v="Qatar"/>
    <s v="Escòcia"/>
    <s v="Austràlia"/>
    <s v="Costa d'Ivori"/>
    <s v="Tunísia"/>
    <s v="Iran"/>
    <s v="Aràbia Saudita"/>
    <s v="Noruega"/>
    <s v="Algèria"/>
    <s v="Uzbekistan"/>
    <s v="Ghana"/>
    <s v="Canadà"/>
    <s v="Brasil"/>
    <s v="Alemanya"/>
    <s v="Països Baixos"/>
    <s v="Equador"/>
    <s v="França"/>
    <s v="Mèxic"/>
    <s v="Anglaterra"/>
    <s v="Bèlgica"/>
    <s v="Estats Units"/>
    <s v="Espanya"/>
    <s v="Croàcia"/>
    <s v="Suïssa"/>
    <s v="Turquia"/>
    <s v="Argentina"/>
    <s v="Portugal"/>
    <s v="Brasil"/>
    <s v="Països Baixos"/>
    <s v="França"/>
    <s v="Anglaterra"/>
    <s v="Estats Units"/>
    <s v="Espanya"/>
    <s v="Turquia"/>
    <s v="Portugal"/>
    <s v="Països Baixos"/>
    <s v="Anglaterra"/>
    <s v="Espanya"/>
    <s v="Portugal"/>
    <s v="Espanya"/>
    <s v="Anglaterra"/>
    <s v="Espanya"/>
    <m/>
    <s v="Rodri"/>
    <s v="Nico Williams"/>
    <n v="23"/>
    <n v="15"/>
    <n v="9"/>
    <n v="7"/>
    <n v="0"/>
    <n v="0"/>
    <n v="0"/>
    <n v="0"/>
    <n v="0"/>
    <n v="0"/>
    <n v="0"/>
    <n v="54"/>
  </r>
  <r>
    <x v="42"/>
    <s v="Administració"/>
    <s v="Corea del Sud"/>
    <s v="Suïssa"/>
    <s v="Brasil"/>
    <s v="Paraguai"/>
    <s v="Alemanya"/>
    <s v="Països Baixos"/>
    <s v="Egipte"/>
    <s v="Espanya"/>
    <s v="França"/>
    <s v="Argentina"/>
    <s v="Colòmbia"/>
    <s v="Croàcia"/>
    <s v="República Txeca"/>
    <s v="Bosnia i Hercegovina"/>
    <s v="Marroc"/>
    <s v="Turquia"/>
    <s v="Equador"/>
    <s v="Japó"/>
    <s v="Bèlgica"/>
    <s v="Uruguai"/>
    <s v="Noruega"/>
    <s v="Algèria"/>
    <s v="Portugal"/>
    <s v="Anglaterra"/>
    <s v="Sud-àfrica"/>
    <s v="Canadà"/>
    <s v="Haití"/>
    <s v="Estats Units"/>
    <s v="Costa d'Ivori"/>
    <s v="Suècia"/>
    <s v="Nova Zelanda"/>
    <s v="Cap Verd"/>
    <s v="Senegal"/>
    <s v="Àustria"/>
    <s v="RD Congo"/>
    <s v="Ghana"/>
    <s v="Corea del Sud"/>
    <s v="Uruguai"/>
    <s v="Brasil"/>
    <s v="Paraguai"/>
    <s v="Alemanya"/>
    <s v="Països Baixos"/>
    <s v="Egipte"/>
    <s v="Espanya"/>
    <s v="França"/>
    <s v="Argentina"/>
    <s v="Colòmbia"/>
    <s v="Croàcia"/>
    <s v="Portugal"/>
    <s v="Anglaterra"/>
    <s v="Noruega"/>
    <s v="Marroc"/>
    <s v="Espanya"/>
    <s v="França"/>
    <s v="Brasil"/>
    <s v="Alemanya"/>
    <s v="Argentina"/>
    <s v="Noruega"/>
    <s v="Croàcia"/>
    <s v="Països Baixos"/>
    <s v="Espanya"/>
    <s v="França"/>
    <s v="Argentina"/>
    <s v="Brasil"/>
    <s v="Espanya"/>
    <s v="Argentina"/>
    <s v="Espanya"/>
    <m/>
    <s v="Kylian Mbappé"/>
    <s v="Rodri"/>
    <n v="19"/>
    <n v="12"/>
    <n v="14"/>
    <n v="6"/>
    <n v="0"/>
    <n v="0"/>
    <n v="0"/>
    <n v="0"/>
    <n v="0"/>
    <n v="0"/>
    <n v="0"/>
    <n v="51"/>
  </r>
  <r>
    <x v="43"/>
    <s v="Manteniment"/>
    <s v="Mèxic"/>
    <s v="Suïssa"/>
    <s v="Brasil"/>
    <s v="Turquia"/>
    <s v="Alemanya"/>
    <s v="Països Baixos"/>
    <s v="Bégica"/>
    <s v="Espanya"/>
    <s v="França"/>
    <s v="Argentina"/>
    <s v="Portugal"/>
    <s v="Anglaterra"/>
    <s v="República Txeca"/>
    <s v="Canadà"/>
    <s v="Marroc"/>
    <s v="Estats Units"/>
    <s v="Equador"/>
    <s v="Suècia"/>
    <s v="Egipte"/>
    <s v="Uruguai"/>
    <s v="Senegal"/>
    <s v="Àustria"/>
    <s v="Colòmbia"/>
    <s v="Croàcia"/>
    <s v="Corea del Sud"/>
    <s v="Bosnia i Hercegovina"/>
    <s v="Escòcia"/>
    <s v="Austràlia"/>
    <s v="Costa d'Ivori"/>
    <s v="Japó"/>
    <s v="Iran"/>
    <s v="Aràbia Saudita"/>
    <s v="Noruega"/>
    <s v="Algèria"/>
    <s v="Uzbekistan"/>
    <s v="Ghana"/>
    <s v="Alemanya"/>
    <s v="França"/>
    <s v="Canadà"/>
    <s v="Països Baixos"/>
    <s v="Colòmbia"/>
    <s v="Espanya"/>
    <s v="Turquia"/>
    <s v="Bèlgica"/>
    <s v="Brasil"/>
    <s v="Senegal"/>
    <s v="Mèxic"/>
    <s v="Anglaterra"/>
    <s v="Argentina"/>
    <s v="Estats Units"/>
    <s v="Suïssa"/>
    <s v="Portugal"/>
    <s v="França"/>
    <s v="Països Baixos"/>
    <s v="Espanya"/>
    <s v="Bèlgica"/>
    <s v="Brasil"/>
    <s v="Anglaterra"/>
    <s v="Argentina"/>
    <s v="Portugal"/>
    <s v="França"/>
    <s v="Espanya"/>
    <s v="Brasil"/>
    <s v="Portugal"/>
    <s v="Espanya"/>
    <s v="Portugal"/>
    <s v="Espanya"/>
    <m/>
    <s v="Pedri"/>
    <s v="Mikel Oyarzabal"/>
    <n v="19"/>
    <n v="15"/>
    <n v="9.5"/>
    <n v="7"/>
    <n v="0"/>
    <n v="0"/>
    <n v="0"/>
    <n v="0"/>
    <n v="0"/>
    <n v="2"/>
    <n v="0"/>
    <n v="52.5"/>
  </r>
  <r>
    <x v="44"/>
    <s v="Manteniment"/>
    <s v="Mèxic"/>
    <s v="Suïssa"/>
    <s v="Brasil"/>
    <s v="Turquia"/>
    <s v="Alemanya"/>
    <s v="Països Baixos"/>
    <s v="Bèlgica"/>
    <s v="Espanya"/>
    <s v="Noruega"/>
    <s v="Argentina"/>
    <s v="Portugal"/>
    <s v="Anglaterra"/>
    <s v="Corea del Sud"/>
    <s v="Canadà"/>
    <s v="Marroc"/>
    <s v="Estats Units"/>
    <s v="Equador"/>
    <s v="Suècia"/>
    <s v="Egipte"/>
    <s v="Uruguai"/>
    <s v="França"/>
    <s v="Àustria"/>
    <s v="Colòmbia"/>
    <s v="Croàcia"/>
    <s v="República Txeca"/>
    <s v="Bosnia i Hercegovina"/>
    <s v="Escòcia"/>
    <s v="Austràlia"/>
    <s v="Costa d'Ivori"/>
    <s v="Japó"/>
    <s v="Nova Zelanda"/>
    <s v="Aràbia Saudita"/>
    <s v="Senegal"/>
    <s v="Algèria"/>
    <s v="RD Congo"/>
    <s v="Ghana"/>
    <s v="Alemanya"/>
    <s v="Noruega"/>
    <s v="Corea del Sud"/>
    <s v="Països Baixos"/>
    <s v="Colòmbia"/>
    <s v="Espanya"/>
    <s v="Turquia"/>
    <s v="Bèlgica"/>
    <s v="Brasil"/>
    <s v="França"/>
    <s v="Mèxic"/>
    <s v="Anglaterra"/>
    <s v="Argentina"/>
    <s v="Estats Units"/>
    <s v="Suïssa"/>
    <s v="Portugal"/>
    <s v="Alemanya"/>
    <s v="Països Baixos"/>
    <s v="Espanya"/>
    <s v="Turquia"/>
    <s v="Brasil"/>
    <s v="Anglaterra"/>
    <s v="Argentina"/>
    <s v="Portugal"/>
    <s v="Països Baixos"/>
    <s v="Espanya"/>
    <s v="Brasil"/>
    <s v="Portugal"/>
    <s v="Espanya"/>
    <s v="Portugal"/>
    <s v="Portugal"/>
    <m/>
    <s v="Vitinha"/>
    <s v="Endrick"/>
    <n v="20"/>
    <n v="15"/>
    <n v="11.5"/>
    <n v="7"/>
    <n v="0"/>
    <n v="0"/>
    <n v="0"/>
    <n v="0"/>
    <n v="0"/>
    <n v="0"/>
    <n v="0"/>
    <n v="53.5"/>
  </r>
  <r>
    <x v="45"/>
    <s v="Obres"/>
    <s v="Corea del Sud"/>
    <s v="Suïssa"/>
    <s v="Brasil"/>
    <s v="Turquia"/>
    <s v="Alemanya"/>
    <s v="Suècia"/>
    <s v="Egipte"/>
    <s v="Espanya"/>
    <s v="Noruega"/>
    <s v="Argentina"/>
    <s v="Colòmbia"/>
    <s v="Anglaterra"/>
    <s v="Mèxic"/>
    <s v="Bosnia i Hercegovina"/>
    <s v="Marroc"/>
    <s v="Paraguai"/>
    <s v="Equador"/>
    <s v="Països Baixos"/>
    <s v="Bèlgica"/>
    <s v="Uruguai"/>
    <s v="França"/>
    <s v="Àustria"/>
    <s v="Portugal"/>
    <s v="Croàcia"/>
    <s v="República Txeca"/>
    <s v="Canadà"/>
    <s v="Escòcia"/>
    <s v="EE.UU"/>
    <s v="Costa d'Ivori"/>
    <s v="Japó"/>
    <s v="Iran"/>
    <s v="Aràbia Saudita"/>
    <s v="Senegal"/>
    <s v="Algèria"/>
    <s v="RD Congo"/>
    <s v="Ghana"/>
    <s v="Alemanya"/>
    <s v="Noruega"/>
    <s v="Bosnia i Hercegovina"/>
    <s v="Marroc"/>
    <s v="Portugal"/>
    <s v="Espanya"/>
    <s v="Escòcia"/>
    <s v="Egipte"/>
    <s v="Brasil"/>
    <s v="França"/>
    <s v="Corea del Sud"/>
    <s v="Anglaterra"/>
    <s v="Argentina"/>
    <s v="Bèlgica"/>
    <s v="Japó"/>
    <s v="Colòmbia"/>
    <s v="Noruega"/>
    <s v="Marroc"/>
    <s v="Espanya"/>
    <s v="Egipte"/>
    <s v="França"/>
    <s v="Anglaterra"/>
    <s v="Argentina"/>
    <s v="Colòmbia"/>
    <s v="Noruega"/>
    <s v="Espanya"/>
    <s v="Anglaterra"/>
    <s v="Argentina"/>
    <s v="Espanya"/>
    <s v="Argentina"/>
    <s v="Espanya"/>
    <s v="2026-02-02"/>
    <s v="Pedri"/>
    <s v="Sørloth"/>
    <n v="17"/>
    <n v="14"/>
    <n v="12"/>
    <n v="6"/>
    <n v="0"/>
    <n v="0"/>
    <n v="0"/>
    <n v="0"/>
    <n v="0"/>
    <n v="0"/>
    <n v="0"/>
    <n v="49"/>
  </r>
  <r>
    <x v="46"/>
    <s v="Obres"/>
    <s v="Sud-àfrica"/>
    <s v="Bosnia i Hercegovina"/>
    <s v="Brasil"/>
    <s v="Estats Units"/>
    <s v="Alemanya"/>
    <s v="Països Baixos"/>
    <s v="Bèlgica"/>
    <s v="Espanya"/>
    <s v="França"/>
    <s v="Argentina"/>
    <s v="Portugal"/>
    <s v="Anglaterra"/>
    <s v="Mèxic"/>
    <s v="Canadà"/>
    <s v="Marroc"/>
    <s v="Paraguai"/>
    <s v="Equador"/>
    <s v="Tunísia"/>
    <s v="Iran"/>
    <s v="Uruguai"/>
    <s v="Senegal"/>
    <s v="Algèria"/>
    <s v="Colòmbia"/>
    <s v="Croàcia"/>
    <s v="República Txeca"/>
    <s v="Suïssa"/>
    <s v="Escòcia"/>
    <s v="Turquia"/>
    <s v="Costa d'Ivori"/>
    <s v="Suècia"/>
    <s v="Egipte"/>
    <s v="Aràbia Saudita"/>
    <s v="Noruega"/>
    <s v="Àustria"/>
    <s v="Uzbekistan"/>
    <s v="Ghana"/>
    <s v="Alemanya"/>
    <s v="França"/>
    <s v="Mèxic"/>
    <s v="Països Baixos"/>
    <s v="Croàcia"/>
    <s v="Espanya"/>
    <s v="Estats Units"/>
    <s v="Bèlgica"/>
    <s v="Brasil"/>
    <s v="Senegal"/>
    <s v="Sud-àfrica"/>
    <s v="Anglaterra"/>
    <s v="Uruguai"/>
    <s v="Paraguai"/>
    <s v="Escòcia"/>
    <s v="Portugal"/>
    <s v="Alemanya"/>
    <s v="Països Baixos"/>
    <s v="Espanya"/>
    <s v="Bèlgica"/>
    <s v="Brasil"/>
    <s v="Anglaterra"/>
    <s v="Uruguai"/>
    <s v="Portugal"/>
    <s v="Països Baixos"/>
    <s v="Espanya"/>
    <s v="Anglaterra"/>
    <s v="Portugal"/>
    <s v="Espanya"/>
    <s v="Anglaterra"/>
    <s v="Espanya"/>
    <m/>
    <s v="Lionel Messi"/>
    <s v="Lamine Yamal"/>
    <n v="20"/>
    <n v="12"/>
    <n v="9.5"/>
    <n v="7"/>
    <n v="0"/>
    <n v="0"/>
    <n v="0"/>
    <n v="0"/>
    <n v="0"/>
    <n v="1"/>
    <n v="0"/>
    <n v="49.5"/>
  </r>
  <r>
    <x v="47"/>
    <s v="I+D"/>
    <s v="Mèxic"/>
    <s v="Canadà"/>
    <s v="Brasil"/>
    <s v="Paraguai"/>
    <s v="Alemanya"/>
    <s v="Països Baixos"/>
    <s v="Bèlgica"/>
    <s v="Espanya"/>
    <s v="França"/>
    <s v="Argentina"/>
    <s v="Colòmbia"/>
    <s v="Croàcia"/>
    <s v="República Txeca"/>
    <s v="Suïssa"/>
    <s v="Escòcia"/>
    <s v="Turquia"/>
    <s v="Equador"/>
    <s v="Suècia"/>
    <s v="Nova Zelanda"/>
    <s v="Uruguai"/>
    <s v="Senegal"/>
    <s v="Àustria"/>
    <s v="Portugal"/>
    <s v="Anglaterra"/>
    <s v="Sud-àfrica"/>
    <s v="Bosnia i Hercegovina"/>
    <s v="Marroc"/>
    <s v="Estats Units"/>
    <s v="Curaçao"/>
    <s v="Tunísia"/>
    <s v="Egipte"/>
    <s v="Cap Verd"/>
    <s v="Noruega"/>
    <s v="Jordània"/>
    <s v="Uzbekistan"/>
    <s v="Panamà"/>
    <s v="Alemanya"/>
    <s v="França"/>
    <s v="Suïssa"/>
    <s v="Països Baixos"/>
    <s v="Portugal"/>
    <s v="Espanya"/>
    <s v="Paraguai"/>
    <s v="Bèlgica"/>
    <s v="Brasil"/>
    <s v="Equador"/>
    <s v="Marroc"/>
    <s v="Croàcia"/>
    <s v="Argentina"/>
    <s v="Turquia"/>
    <s v="Canadà"/>
    <s v="Colòmbia"/>
    <s v="Alemanya"/>
    <s v="Països Baixos"/>
    <s v="Espanya"/>
    <s v="Bèlgica"/>
    <s v="Brasil"/>
    <s v="Marroc"/>
    <s v="Argentina"/>
    <s v="Colòmbia"/>
    <s v="Països Baixos"/>
    <s v="Espanya"/>
    <s v="Marroc"/>
    <s v="Argentina"/>
    <s v="Espanya"/>
    <s v="Argentina"/>
    <s v="Argentina"/>
    <m/>
    <s v="Julián Álvarez"/>
    <s v="Julián Álvarez"/>
    <n v="21"/>
    <n v="9"/>
    <n v="6"/>
    <n v="6"/>
    <n v="0"/>
    <n v="0"/>
    <n v="0"/>
    <n v="0"/>
    <n v="0"/>
    <n v="0"/>
    <n v="0"/>
    <n v="4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Participant">
  <location ref="A1:B50" firstHeaderRow="1" firstDataRow="1" firstDataCol="1"/>
  <pivotFields count="84">
    <pivotField axis="axisRow" showAll="0" sortType="descending">
      <items count="55">
        <item x="15"/>
        <item x="16"/>
        <item x="11"/>
        <item x="47"/>
        <item m="1" x="53"/>
        <item x="2"/>
        <item x="9"/>
        <item x="3"/>
        <item x="23"/>
        <item x="35"/>
        <item x="4"/>
        <item x="19"/>
        <item x="28"/>
        <item x="38"/>
        <item x="12"/>
        <item x="27"/>
        <item x="7"/>
        <item x="45"/>
        <item x="46"/>
        <item x="44"/>
        <item x="34"/>
        <item x="32"/>
        <item x="29"/>
        <item m="1" x="48"/>
        <item x="8"/>
        <item x="41"/>
        <item x="1"/>
        <item x="31"/>
        <item x="18"/>
        <item m="1" x="51"/>
        <item x="10"/>
        <item x="22"/>
        <item x="39"/>
        <item x="33"/>
        <item x="30"/>
        <item x="0"/>
        <item m="1" x="52"/>
        <item x="43"/>
        <item x="21"/>
        <item x="5"/>
        <item x="24"/>
        <item x="17"/>
        <item x="36"/>
        <item m="1" x="50"/>
        <item m="1" x="49"/>
        <item x="14"/>
        <item x="26"/>
        <item x="6"/>
        <item x="25"/>
        <item x="20"/>
        <item x="40"/>
        <item x="37"/>
        <item x="42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49">
    <i>
      <x v="6"/>
    </i>
    <i>
      <x v="47"/>
    </i>
    <i>
      <x v="28"/>
    </i>
    <i>
      <x v="39"/>
    </i>
    <i>
      <x v="30"/>
    </i>
    <i>
      <x v="10"/>
    </i>
    <i>
      <x v="53"/>
    </i>
    <i>
      <x v="35"/>
    </i>
    <i>
      <x v="7"/>
    </i>
    <i>
      <x v="14"/>
    </i>
    <i>
      <x v="12"/>
    </i>
    <i>
      <x v="24"/>
    </i>
    <i>
      <x v="26"/>
    </i>
    <i>
      <x v="5"/>
    </i>
    <i>
      <x v="40"/>
    </i>
    <i>
      <x v="46"/>
    </i>
    <i>
      <x v="27"/>
    </i>
    <i>
      <x v="31"/>
    </i>
    <i>
      <x v="49"/>
    </i>
    <i>
      <x v="41"/>
    </i>
    <i>
      <x v="1"/>
    </i>
    <i>
      <x v="8"/>
    </i>
    <i>
      <x v="16"/>
    </i>
    <i>
      <x v="45"/>
    </i>
    <i>
      <x v="22"/>
    </i>
    <i>
      <x v="38"/>
    </i>
    <i>
      <x v="33"/>
    </i>
    <i>
      <x v="34"/>
    </i>
    <i>
      <x v="9"/>
    </i>
    <i>
      <x v="42"/>
    </i>
    <i>
      <x v="15"/>
    </i>
    <i>
      <x v="21"/>
    </i>
    <i>
      <x v="11"/>
    </i>
    <i>
      <x v="51"/>
    </i>
    <i>
      <x v="20"/>
    </i>
    <i>
      <x v="48"/>
    </i>
    <i>
      <x v="2"/>
    </i>
    <i>
      <x v="50"/>
    </i>
    <i>
      <x v="25"/>
    </i>
    <i>
      <x v="19"/>
    </i>
    <i>
      <x v="13"/>
    </i>
    <i>
      <x v="37"/>
    </i>
    <i>
      <x/>
    </i>
    <i>
      <x v="52"/>
    </i>
    <i>
      <x v="32"/>
    </i>
    <i>
      <x v="18"/>
    </i>
    <i>
      <x v="17"/>
    </i>
    <i>
      <x v="3"/>
    </i>
    <i t="grand">
      <x/>
    </i>
  </rowItems>
  <colItems count="1">
    <i/>
  </colItems>
  <dataFields count="1">
    <dataField name="Punts" fld="83" baseField="0" baseItem="0"/>
  </dataField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7"/>
  <sheetViews>
    <sheetView topLeftCell="G1" workbookViewId="0">
      <selection activeCell="J12" sqref="J12"/>
    </sheetView>
  </sheetViews>
  <sheetFormatPr baseColWidth="10" defaultColWidth="9.140625" defaultRowHeight="15" x14ac:dyDescent="0.25"/>
  <cols>
    <col min="1" max="1" width="6.85546875" bestFit="1" customWidth="1"/>
    <col min="2" max="2" width="8.140625" bestFit="1" customWidth="1"/>
    <col min="3" max="3" width="18.5703125" bestFit="1" customWidth="1"/>
    <col min="5" max="5" width="18.5703125" bestFit="1" customWidth="1"/>
    <col min="6" max="6" width="10.7109375" bestFit="1" customWidth="1"/>
    <col min="7" max="7" width="9.7109375" bestFit="1" customWidth="1"/>
    <col min="8" max="8" width="8" bestFit="1" customWidth="1"/>
    <col min="9" max="9" width="10.28515625" bestFit="1" customWidth="1"/>
    <col min="10" max="10" width="8.42578125" bestFit="1" customWidth="1"/>
    <col min="11" max="11" width="8" bestFit="1" customWidth="1"/>
    <col min="12" max="12" width="14.5703125" bestFit="1" customWidth="1"/>
    <col min="13" max="13" width="10" customWidth="1"/>
    <col min="14" max="14" width="20.5703125" bestFit="1" customWidth="1"/>
    <col min="15" max="15" width="8.140625" bestFit="1" customWidth="1"/>
    <col min="18" max="18" width="8.7109375" bestFit="1" customWidth="1"/>
    <col min="19" max="19" width="9.42578125" bestFit="1" customWidth="1"/>
    <col min="20" max="20" width="15.28515625" bestFit="1" customWidth="1"/>
  </cols>
  <sheetData>
    <row r="1" spans="1:15" x14ac:dyDescent="0.25">
      <c r="A1" s="1" t="s">
        <v>216</v>
      </c>
      <c r="B1" s="1" t="s">
        <v>217</v>
      </c>
      <c r="C1" s="1" t="s">
        <v>218</v>
      </c>
      <c r="E1" s="1" t="s">
        <v>219</v>
      </c>
      <c r="F1" s="1" t="s">
        <v>220</v>
      </c>
      <c r="G1" s="1" t="s">
        <v>221</v>
      </c>
      <c r="H1" s="1" t="s">
        <v>222</v>
      </c>
      <c r="I1" s="1" t="s">
        <v>223</v>
      </c>
      <c r="J1" s="1" t="s">
        <v>68</v>
      </c>
      <c r="K1" s="1" t="s">
        <v>70</v>
      </c>
      <c r="L1" s="1" t="s">
        <v>82</v>
      </c>
      <c r="N1" s="1" t="s">
        <v>224</v>
      </c>
      <c r="O1" s="1" t="s">
        <v>225</v>
      </c>
    </row>
    <row r="2" spans="1:15" x14ac:dyDescent="0.25">
      <c r="A2" s="19" t="s">
        <v>226</v>
      </c>
      <c r="B2" s="2" t="s">
        <v>227</v>
      </c>
      <c r="C2" s="3" t="s">
        <v>86</v>
      </c>
      <c r="E2" s="14" t="str">
        <f>+C2</f>
        <v>Mèxic</v>
      </c>
      <c r="F2" s="10" t="s">
        <v>99</v>
      </c>
      <c r="G2" s="10" t="s">
        <v>100</v>
      </c>
      <c r="H2" s="10" t="s">
        <v>94</v>
      </c>
      <c r="I2" s="10" t="s">
        <v>228</v>
      </c>
      <c r="J2" s="10" t="s">
        <v>228</v>
      </c>
      <c r="K2" s="10" t="s">
        <v>228</v>
      </c>
      <c r="L2" s="10" t="s">
        <v>228</v>
      </c>
      <c r="N2" t="s">
        <v>157</v>
      </c>
      <c r="O2" s="3">
        <v>8</v>
      </c>
    </row>
    <row r="3" spans="1:15" x14ac:dyDescent="0.25">
      <c r="A3" s="19" t="s">
        <v>226</v>
      </c>
      <c r="B3" s="2" t="s">
        <v>229</v>
      </c>
      <c r="C3" s="3" t="s">
        <v>130</v>
      </c>
      <c r="E3" s="14" t="str">
        <f>+C3</f>
        <v>Sud-àfrica</v>
      </c>
      <c r="F3" s="10" t="s">
        <v>88</v>
      </c>
      <c r="G3" s="10" t="s">
        <v>94</v>
      </c>
      <c r="H3" s="10" t="s">
        <v>93</v>
      </c>
      <c r="I3" s="10" t="s">
        <v>228</v>
      </c>
      <c r="N3" t="s">
        <v>128</v>
      </c>
      <c r="O3" s="3">
        <v>8</v>
      </c>
    </row>
    <row r="4" spans="1:15" x14ac:dyDescent="0.25">
      <c r="A4" s="19" t="s">
        <v>226</v>
      </c>
      <c r="B4" s="2" t="s">
        <v>230</v>
      </c>
      <c r="C4" s="16" t="s">
        <v>98</v>
      </c>
      <c r="E4" s="14" t="str">
        <f>+C5</f>
        <v>Suïssa</v>
      </c>
      <c r="F4" s="10" t="s">
        <v>100</v>
      </c>
      <c r="G4" s="10" t="s">
        <v>117</v>
      </c>
      <c r="H4" s="10" t="s">
        <v>97</v>
      </c>
      <c r="N4" t="s">
        <v>161</v>
      </c>
      <c r="O4" s="3">
        <v>7</v>
      </c>
    </row>
    <row r="5" spans="1:15" x14ac:dyDescent="0.25">
      <c r="A5" s="19" t="s">
        <v>231</v>
      </c>
      <c r="B5" s="2" t="s">
        <v>227</v>
      </c>
      <c r="C5" s="3" t="s">
        <v>87</v>
      </c>
      <c r="E5" s="14" t="str">
        <f>+C6</f>
        <v>Canadà</v>
      </c>
      <c r="F5" s="10" t="s">
        <v>112</v>
      </c>
      <c r="G5" s="10" t="s">
        <v>97</v>
      </c>
      <c r="H5" s="10" t="s">
        <v>95</v>
      </c>
      <c r="N5" t="s">
        <v>154</v>
      </c>
      <c r="O5" s="3">
        <v>6</v>
      </c>
    </row>
    <row r="6" spans="1:15" x14ac:dyDescent="0.25">
      <c r="A6" s="19" t="s">
        <v>231</v>
      </c>
      <c r="B6" s="2" t="s">
        <v>229</v>
      </c>
      <c r="C6" s="3" t="s">
        <v>99</v>
      </c>
      <c r="E6" s="14" t="str">
        <f>+C8</f>
        <v>Brasil</v>
      </c>
      <c r="F6" s="10" t="s">
        <v>117</v>
      </c>
      <c r="G6" s="10" t="s">
        <v>92</v>
      </c>
      <c r="N6" t="s">
        <v>166</v>
      </c>
      <c r="O6" s="3">
        <v>4</v>
      </c>
    </row>
    <row r="7" spans="1:15" x14ac:dyDescent="0.25">
      <c r="A7" s="19" t="s">
        <v>231</v>
      </c>
      <c r="B7" s="2" t="s">
        <v>230</v>
      </c>
      <c r="C7" s="16" t="s">
        <v>245</v>
      </c>
      <c r="E7" s="14" t="str">
        <f>+C9</f>
        <v>Marroc</v>
      </c>
      <c r="F7" s="10" t="s">
        <v>94</v>
      </c>
      <c r="G7" s="10" t="s">
        <v>93</v>
      </c>
      <c r="N7" t="s">
        <v>122</v>
      </c>
      <c r="O7" s="3">
        <v>4</v>
      </c>
    </row>
    <row r="8" spans="1:15" x14ac:dyDescent="0.25">
      <c r="A8" s="19" t="s">
        <v>232</v>
      </c>
      <c r="B8" s="2" t="s">
        <v>227</v>
      </c>
      <c r="C8" s="3" t="s">
        <v>88</v>
      </c>
      <c r="E8" s="14" t="str">
        <f>+C11</f>
        <v>Estats Units</v>
      </c>
      <c r="F8" s="10" t="s">
        <v>86</v>
      </c>
      <c r="G8" s="10" t="s">
        <v>87</v>
      </c>
      <c r="N8" t="s">
        <v>121</v>
      </c>
      <c r="O8" s="3">
        <v>1</v>
      </c>
    </row>
    <row r="9" spans="1:15" x14ac:dyDescent="0.25">
      <c r="A9" s="19" t="s">
        <v>232</v>
      </c>
      <c r="B9" s="2" t="s">
        <v>229</v>
      </c>
      <c r="C9" s="3" t="s">
        <v>100</v>
      </c>
      <c r="E9" s="14" t="str">
        <f>+C12</f>
        <v>Austràlia</v>
      </c>
      <c r="F9" s="10" t="s">
        <v>97</v>
      </c>
      <c r="G9" s="10" t="s">
        <v>95</v>
      </c>
      <c r="N9" t="s">
        <v>194</v>
      </c>
      <c r="O9" s="3">
        <v>0</v>
      </c>
    </row>
    <row r="10" spans="1:15" x14ac:dyDescent="0.25">
      <c r="A10" s="19" t="s">
        <v>232</v>
      </c>
      <c r="B10" s="2" t="s">
        <v>230</v>
      </c>
      <c r="C10" s="16" t="s">
        <v>111</v>
      </c>
      <c r="E10" s="14" t="str">
        <f>+C14</f>
        <v>Alemanya</v>
      </c>
      <c r="F10" s="10" t="s">
        <v>89</v>
      </c>
      <c r="N10" t="s">
        <v>211</v>
      </c>
      <c r="O10" s="3">
        <v>0</v>
      </c>
    </row>
    <row r="11" spans="1:15" x14ac:dyDescent="0.25">
      <c r="A11" s="19" t="s">
        <v>233</v>
      </c>
      <c r="B11" s="2" t="s">
        <v>227</v>
      </c>
      <c r="C11" s="3" t="s">
        <v>89</v>
      </c>
      <c r="E11" s="14" t="str">
        <f>+C15</f>
        <v>Costa d'Ivori</v>
      </c>
      <c r="F11" s="10" t="s">
        <v>92</v>
      </c>
      <c r="N11" t="s">
        <v>145</v>
      </c>
      <c r="O11" s="3">
        <v>1</v>
      </c>
    </row>
    <row r="12" spans="1:15" x14ac:dyDescent="0.25">
      <c r="A12" s="19" t="s">
        <v>233</v>
      </c>
      <c r="B12" s="2" t="s">
        <v>229</v>
      </c>
      <c r="C12" s="3" t="s">
        <v>126</v>
      </c>
      <c r="E12" s="14" t="str">
        <f>+C17</f>
        <v>Països Baixos</v>
      </c>
      <c r="F12" s="10" t="s">
        <v>87</v>
      </c>
      <c r="N12" t="s">
        <v>133</v>
      </c>
      <c r="O12" s="3">
        <v>0</v>
      </c>
    </row>
    <row r="13" spans="1:15" x14ac:dyDescent="0.25">
      <c r="A13" s="19" t="s">
        <v>233</v>
      </c>
      <c r="B13" s="2" t="s">
        <v>230</v>
      </c>
      <c r="C13" s="16" t="s">
        <v>112</v>
      </c>
      <c r="E13" s="14" t="str">
        <f>+C18</f>
        <v>Japó</v>
      </c>
      <c r="F13" s="10" t="s">
        <v>93</v>
      </c>
      <c r="N13" t="s">
        <v>132</v>
      </c>
      <c r="O13" s="3">
        <v>0</v>
      </c>
    </row>
    <row r="14" spans="1:15" x14ac:dyDescent="0.25">
      <c r="A14" s="19" t="s">
        <v>234</v>
      </c>
      <c r="B14" s="2" t="s">
        <v>227</v>
      </c>
      <c r="C14" s="3" t="s">
        <v>90</v>
      </c>
      <c r="E14" s="14" t="str">
        <f>+C20</f>
        <v>Bèlgica</v>
      </c>
      <c r="F14" s="10" t="s">
        <v>96</v>
      </c>
      <c r="N14" t="s">
        <v>200</v>
      </c>
      <c r="O14" s="3">
        <v>0</v>
      </c>
    </row>
    <row r="15" spans="1:15" x14ac:dyDescent="0.25">
      <c r="A15" s="19" t="s">
        <v>234</v>
      </c>
      <c r="B15" s="2" t="s">
        <v>229</v>
      </c>
      <c r="C15" s="3" t="s">
        <v>113</v>
      </c>
      <c r="E15" s="14" t="str">
        <f>+C21</f>
        <v>Egipte</v>
      </c>
      <c r="F15" s="10" t="s">
        <v>104</v>
      </c>
    </row>
    <row r="16" spans="1:15" x14ac:dyDescent="0.25">
      <c r="A16" s="19" t="s">
        <v>234</v>
      </c>
      <c r="B16" s="2" t="s">
        <v>230</v>
      </c>
      <c r="C16" s="16" t="s">
        <v>102</v>
      </c>
      <c r="E16" s="14" t="str">
        <f>+C23</f>
        <v>Espanya</v>
      </c>
      <c r="F16" s="10" t="s">
        <v>95</v>
      </c>
    </row>
    <row r="17" spans="1:6" x14ac:dyDescent="0.25">
      <c r="A17" s="19" t="s">
        <v>235</v>
      </c>
      <c r="B17" s="2" t="s">
        <v>227</v>
      </c>
      <c r="C17" s="3" t="s">
        <v>91</v>
      </c>
      <c r="E17" s="14" t="str">
        <f>+C24</f>
        <v>Cap Verd</v>
      </c>
      <c r="F17" s="10" t="s">
        <v>108</v>
      </c>
    </row>
    <row r="18" spans="1:6" x14ac:dyDescent="0.25">
      <c r="A18" s="19" t="s">
        <v>235</v>
      </c>
      <c r="B18" s="2" t="s">
        <v>229</v>
      </c>
      <c r="C18" s="3" t="s">
        <v>114</v>
      </c>
      <c r="E18" s="14" t="str">
        <f>+C26</f>
        <v>França</v>
      </c>
    </row>
    <row r="19" spans="1:6" x14ac:dyDescent="0.25">
      <c r="A19" s="19" t="s">
        <v>235</v>
      </c>
      <c r="B19" s="2" t="s">
        <v>230</v>
      </c>
      <c r="C19" s="16" t="s">
        <v>103</v>
      </c>
      <c r="E19" s="14" t="str">
        <f>+C27</f>
        <v>Noruega</v>
      </c>
    </row>
    <row r="20" spans="1:6" x14ac:dyDescent="0.25">
      <c r="A20" s="2" t="s">
        <v>236</v>
      </c>
      <c r="B20" s="2" t="s">
        <v>227</v>
      </c>
      <c r="C20" s="3" t="s">
        <v>92</v>
      </c>
      <c r="E20" s="14" t="str">
        <f>+C29</f>
        <v>Argentina</v>
      </c>
    </row>
    <row r="21" spans="1:6" x14ac:dyDescent="0.25">
      <c r="A21" s="2" t="s">
        <v>236</v>
      </c>
      <c r="B21" s="2" t="s">
        <v>229</v>
      </c>
      <c r="C21" s="3" t="s">
        <v>104</v>
      </c>
      <c r="E21" s="14" t="str">
        <f>+C30</f>
        <v>Àustria</v>
      </c>
    </row>
    <row r="22" spans="1:6" x14ac:dyDescent="0.25">
      <c r="A22" s="2" t="s">
        <v>236</v>
      </c>
      <c r="B22" s="2" t="s">
        <v>230</v>
      </c>
      <c r="C22" s="16" t="s">
        <v>115</v>
      </c>
      <c r="E22" s="14" t="str">
        <f>+C32</f>
        <v>Colòmbia</v>
      </c>
    </row>
    <row r="23" spans="1:6" x14ac:dyDescent="0.25">
      <c r="A23" s="2" t="s">
        <v>237</v>
      </c>
      <c r="B23" s="2" t="s">
        <v>227</v>
      </c>
      <c r="C23" s="3" t="s">
        <v>93</v>
      </c>
      <c r="E23" s="14" t="str">
        <f>+C33</f>
        <v>Portugal</v>
      </c>
    </row>
    <row r="24" spans="1:6" x14ac:dyDescent="0.25">
      <c r="A24" s="2" t="s">
        <v>237</v>
      </c>
      <c r="B24" s="2" t="s">
        <v>229</v>
      </c>
      <c r="C24" s="3" t="s">
        <v>142</v>
      </c>
      <c r="E24" s="14" t="str">
        <f>+C35</f>
        <v>Anglaterra</v>
      </c>
    </row>
    <row r="25" spans="1:6" x14ac:dyDescent="0.25">
      <c r="A25" s="2" t="s">
        <v>237</v>
      </c>
      <c r="B25" s="2" t="s">
        <v>230</v>
      </c>
      <c r="C25" s="16" t="s">
        <v>105</v>
      </c>
      <c r="E25" s="14" t="str">
        <f>+C36</f>
        <v>Croàcia</v>
      </c>
    </row>
    <row r="26" spans="1:6" x14ac:dyDescent="0.25">
      <c r="A26" s="2" t="s">
        <v>238</v>
      </c>
      <c r="B26" s="2" t="s">
        <v>227</v>
      </c>
      <c r="C26" s="3" t="s">
        <v>94</v>
      </c>
      <c r="E26" s="10" t="s">
        <v>127</v>
      </c>
      <c r="F26" s="3"/>
    </row>
    <row r="27" spans="1:6" x14ac:dyDescent="0.25">
      <c r="A27" s="2" t="s">
        <v>238</v>
      </c>
      <c r="B27" s="2" t="s">
        <v>229</v>
      </c>
      <c r="C27" s="3" t="s">
        <v>117</v>
      </c>
      <c r="E27" s="10" t="s">
        <v>103</v>
      </c>
    </row>
    <row r="28" spans="1:6" x14ac:dyDescent="0.25">
      <c r="A28" s="2" t="s">
        <v>238</v>
      </c>
      <c r="B28" s="2" t="s">
        <v>230</v>
      </c>
      <c r="C28" s="16" t="s">
        <v>106</v>
      </c>
      <c r="E28" s="10" t="s">
        <v>120</v>
      </c>
    </row>
    <row r="29" spans="1:6" x14ac:dyDescent="0.25">
      <c r="A29" s="2" t="s">
        <v>239</v>
      </c>
      <c r="B29" s="2" t="s">
        <v>227</v>
      </c>
      <c r="C29" s="3" t="s">
        <v>95</v>
      </c>
      <c r="E29" s="10" t="s">
        <v>102</v>
      </c>
    </row>
    <row r="30" spans="1:6" x14ac:dyDescent="0.25">
      <c r="A30" s="2" t="s">
        <v>239</v>
      </c>
      <c r="B30" s="2" t="s">
        <v>229</v>
      </c>
      <c r="C30" s="13" t="s">
        <v>107</v>
      </c>
      <c r="E30" s="10" t="s">
        <v>245</v>
      </c>
    </row>
    <row r="31" spans="1:6" x14ac:dyDescent="0.25">
      <c r="A31" s="2" t="s">
        <v>239</v>
      </c>
      <c r="B31" s="2" t="s">
        <v>230</v>
      </c>
      <c r="C31" s="17" t="s">
        <v>118</v>
      </c>
      <c r="E31" s="10" t="s">
        <v>112</v>
      </c>
    </row>
    <row r="32" spans="1:6" x14ac:dyDescent="0.25">
      <c r="A32" s="2" t="s">
        <v>240</v>
      </c>
      <c r="B32" s="2" t="s">
        <v>227</v>
      </c>
      <c r="C32" s="3" t="s">
        <v>108</v>
      </c>
      <c r="E32" s="10" t="s">
        <v>118</v>
      </c>
    </row>
    <row r="33" spans="1:5" x14ac:dyDescent="0.25">
      <c r="A33" s="2" t="s">
        <v>240</v>
      </c>
      <c r="B33" s="2" t="s">
        <v>229</v>
      </c>
      <c r="C33" s="3" t="s">
        <v>96</v>
      </c>
      <c r="E33" s="10" t="s">
        <v>106</v>
      </c>
    </row>
    <row r="34" spans="1:5" x14ac:dyDescent="0.25">
      <c r="A34" s="2" t="s">
        <v>240</v>
      </c>
      <c r="B34" s="2" t="s">
        <v>230</v>
      </c>
      <c r="C34" s="16" t="s">
        <v>127</v>
      </c>
    </row>
    <row r="35" spans="1:5" x14ac:dyDescent="0.25">
      <c r="A35" s="2" t="s">
        <v>241</v>
      </c>
      <c r="B35" s="2" t="s">
        <v>227</v>
      </c>
      <c r="C35" s="3" t="s">
        <v>97</v>
      </c>
    </row>
    <row r="36" spans="1:5" x14ac:dyDescent="0.25">
      <c r="A36" s="2" t="s">
        <v>241</v>
      </c>
      <c r="B36" s="2" t="s">
        <v>229</v>
      </c>
      <c r="C36" s="3" t="s">
        <v>109</v>
      </c>
    </row>
    <row r="37" spans="1:5" x14ac:dyDescent="0.25">
      <c r="A37" s="2" t="s">
        <v>241</v>
      </c>
      <c r="B37" s="2" t="s">
        <v>230</v>
      </c>
      <c r="C37" s="16" t="s">
        <v>120</v>
      </c>
    </row>
  </sheetData>
  <autoFilter ref="N1:O14" xr:uid="{00000000-0001-0000-0000-000000000000}">
    <sortState xmlns:xlrd2="http://schemas.microsoft.com/office/spreadsheetml/2017/richdata2" ref="N2:O14">
      <sortCondition descending="1" ref="O1:O14"/>
    </sortState>
  </autoFilter>
  <dataValidations count="6">
    <dataValidation type="list" allowBlank="1" showInputMessage="1" showErrorMessage="1" sqref="G2:G9" xr:uid="{AA5AA722-50BA-410B-82F7-991D269DC6F9}">
      <formula1>$F$2:$F$17</formula1>
    </dataValidation>
    <dataValidation type="list" allowBlank="1" showInputMessage="1" showErrorMessage="1" sqref="H2:H5" xr:uid="{17203C8A-B2E7-44D3-841C-07C49EEA4C15}">
      <formula1>$G$2:$G$9</formula1>
    </dataValidation>
    <dataValidation type="list" allowBlank="1" showInputMessage="1" showErrorMessage="1" sqref="I2:I3" xr:uid="{F97D354B-0CFA-40AB-AC95-3381B40D6483}">
      <formula1>$H$2:$H$5</formula1>
    </dataValidation>
    <dataValidation type="list" allowBlank="1" showInputMessage="1" showErrorMessage="1" sqref="J2" xr:uid="{F67376F6-AFA2-466D-BFF5-DCCAE0FB3ECB}">
      <formula1>$I$2:$I$3</formula1>
    </dataValidation>
    <dataValidation type="list" allowBlank="1" showInputMessage="1" showErrorMessage="1" sqref="F2:F17" xr:uid="{D2957299-AA86-4AAC-BC70-7E025FFACDDE}">
      <formula1>$E$2:$E$33</formula1>
    </dataValidation>
    <dataValidation type="list" allowBlank="1" showInputMessage="1" showErrorMessage="1" sqref="E2:E25" xr:uid="{E4A41900-CC37-48F7-B004-B74485AD8A27}">
      <formula1>$C$2:$C$37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0EDAE44-E1CD-4473-AB1A-CAF9F01CD872}">
          <x14:formula1>
            <xm:f>Països_ok!$A$1:$A$47</xm:f>
          </x14:formula1>
          <xm:sqref>C2:C37</xm:sqref>
        </x14:dataValidation>
        <x14:dataValidation type="list" allowBlank="1" showInputMessage="1" showErrorMessage="1" xr:uid="{9F1D48B6-0AC3-40F3-B975-CB03579B358D}">
          <x14:formula1>
            <xm:f>Països_ok!$A$51:$A$62</xm:f>
          </x14:formula1>
          <xm:sqref>E26:E33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5B234-ABBA-4264-BEC5-BD0DA4C0A266}">
  <dimension ref="A1:E33"/>
  <sheetViews>
    <sheetView tabSelected="1" topLeftCell="A13" zoomScaleNormal="60" zoomScaleSheetLayoutView="100" workbookViewId="0">
      <selection activeCell="B32" sqref="B32"/>
    </sheetView>
  </sheetViews>
  <sheetFormatPr baseColWidth="10" defaultColWidth="11.28515625" defaultRowHeight="15" x14ac:dyDescent="0.25"/>
  <cols>
    <col min="1" max="1" width="14.5703125" bestFit="1" customWidth="1"/>
    <col min="2" max="2" width="58.28515625" customWidth="1"/>
    <col min="3" max="3" width="17.85546875" bestFit="1" customWidth="1"/>
    <col min="5" max="5" width="23.140625" customWidth="1"/>
    <col min="9" max="9" width="51.7109375" customWidth="1"/>
  </cols>
  <sheetData>
    <row r="1" spans="1:5" x14ac:dyDescent="0.25">
      <c r="A1" s="18" t="s">
        <v>248</v>
      </c>
      <c r="B1" s="18" t="s">
        <v>249</v>
      </c>
      <c r="C1" s="18" t="s">
        <v>250</v>
      </c>
      <c r="D1" s="18" t="s">
        <v>251</v>
      </c>
      <c r="E1" s="18" t="s">
        <v>252</v>
      </c>
    </row>
    <row r="2" spans="1:5" x14ac:dyDescent="0.25">
      <c r="A2" t="s">
        <v>270</v>
      </c>
      <c r="B2" t="s">
        <v>254</v>
      </c>
      <c r="C2" s="20">
        <v>46201</v>
      </c>
      <c r="D2" t="s">
        <v>288</v>
      </c>
      <c r="E2" s="21" t="s">
        <v>253</v>
      </c>
    </row>
    <row r="3" spans="1:5" x14ac:dyDescent="0.25">
      <c r="A3" t="s">
        <v>270</v>
      </c>
      <c r="B3" t="s">
        <v>255</v>
      </c>
      <c r="C3" s="20">
        <v>46202</v>
      </c>
      <c r="D3" t="s">
        <v>288</v>
      </c>
      <c r="E3" s="21" t="s">
        <v>271</v>
      </c>
    </row>
    <row r="4" spans="1:5" x14ac:dyDescent="0.25">
      <c r="A4" t="s">
        <v>270</v>
      </c>
      <c r="B4" t="s">
        <v>256</v>
      </c>
      <c r="C4" s="20">
        <v>46202</v>
      </c>
      <c r="D4" t="s">
        <v>288</v>
      </c>
      <c r="E4" s="21" t="s">
        <v>272</v>
      </c>
    </row>
    <row r="5" spans="1:5" x14ac:dyDescent="0.25">
      <c r="A5" t="s">
        <v>270</v>
      </c>
      <c r="B5" t="s">
        <v>257</v>
      </c>
      <c r="C5" s="20">
        <v>46203</v>
      </c>
      <c r="D5" t="s">
        <v>288</v>
      </c>
      <c r="E5" s="21" t="s">
        <v>273</v>
      </c>
    </row>
    <row r="6" spans="1:5" x14ac:dyDescent="0.25">
      <c r="A6" t="s">
        <v>270</v>
      </c>
      <c r="B6" t="s">
        <v>258</v>
      </c>
      <c r="C6" s="20">
        <v>46203</v>
      </c>
      <c r="D6" t="s">
        <v>288</v>
      </c>
      <c r="E6" s="21" t="s">
        <v>274</v>
      </c>
    </row>
    <row r="7" spans="1:5" x14ac:dyDescent="0.25">
      <c r="A7" t="s">
        <v>270</v>
      </c>
      <c r="B7" t="s">
        <v>259</v>
      </c>
      <c r="C7" s="20">
        <v>46203</v>
      </c>
      <c r="D7" t="s">
        <v>288</v>
      </c>
      <c r="E7" s="21" t="s">
        <v>275</v>
      </c>
    </row>
    <row r="8" spans="1:5" x14ac:dyDescent="0.25">
      <c r="A8" t="s">
        <v>270</v>
      </c>
      <c r="B8" t="s">
        <v>260</v>
      </c>
      <c r="C8" s="20">
        <v>46204</v>
      </c>
      <c r="D8" t="s">
        <v>288</v>
      </c>
      <c r="E8" s="21" t="s">
        <v>164</v>
      </c>
    </row>
    <row r="9" spans="1:5" x14ac:dyDescent="0.25">
      <c r="A9" t="s">
        <v>270</v>
      </c>
      <c r="B9" t="s">
        <v>261</v>
      </c>
      <c r="C9" s="20">
        <v>46204</v>
      </c>
      <c r="D9" t="s">
        <v>288</v>
      </c>
      <c r="E9" s="21" t="s">
        <v>271</v>
      </c>
    </row>
    <row r="10" spans="1:5" x14ac:dyDescent="0.25">
      <c r="A10" t="s">
        <v>270</v>
      </c>
      <c r="B10" t="s">
        <v>262</v>
      </c>
      <c r="C10" s="20">
        <v>46204</v>
      </c>
      <c r="D10" t="s">
        <v>288</v>
      </c>
      <c r="E10" s="21" t="s">
        <v>276</v>
      </c>
    </row>
    <row r="11" spans="1:5" x14ac:dyDescent="0.25">
      <c r="A11" t="s">
        <v>270</v>
      </c>
      <c r="B11" t="s">
        <v>263</v>
      </c>
      <c r="C11" s="20">
        <v>46205</v>
      </c>
      <c r="D11" t="s">
        <v>288</v>
      </c>
      <c r="E11" s="21" t="s">
        <v>164</v>
      </c>
    </row>
    <row r="12" spans="1:5" x14ac:dyDescent="0.25">
      <c r="A12" t="s">
        <v>270</v>
      </c>
      <c r="B12" t="s">
        <v>264</v>
      </c>
      <c r="C12" s="20">
        <v>46205</v>
      </c>
      <c r="D12" t="s">
        <v>288</v>
      </c>
      <c r="E12" s="21" t="s">
        <v>275</v>
      </c>
    </row>
    <row r="13" spans="1:5" x14ac:dyDescent="0.25">
      <c r="A13" t="s">
        <v>270</v>
      </c>
      <c r="B13" t="s">
        <v>265</v>
      </c>
      <c r="C13" s="20">
        <v>46206</v>
      </c>
      <c r="D13" t="s">
        <v>288</v>
      </c>
      <c r="E13" s="21" t="s">
        <v>271</v>
      </c>
    </row>
    <row r="14" spans="1:5" x14ac:dyDescent="0.25">
      <c r="A14" t="s">
        <v>270</v>
      </c>
      <c r="B14" t="s">
        <v>266</v>
      </c>
      <c r="C14" s="20">
        <v>46206</v>
      </c>
      <c r="D14" t="s">
        <v>288</v>
      </c>
      <c r="E14" s="21" t="s">
        <v>164</v>
      </c>
    </row>
    <row r="15" spans="1:5" x14ac:dyDescent="0.25">
      <c r="A15" t="s">
        <v>270</v>
      </c>
      <c r="B15" t="s">
        <v>267</v>
      </c>
      <c r="C15" s="20">
        <v>46206</v>
      </c>
      <c r="D15" t="s">
        <v>288</v>
      </c>
      <c r="E15" s="21" t="s">
        <v>277</v>
      </c>
    </row>
    <row r="16" spans="1:5" x14ac:dyDescent="0.25">
      <c r="A16" t="s">
        <v>270</v>
      </c>
      <c r="B16" t="s">
        <v>268</v>
      </c>
      <c r="C16" s="20">
        <v>46207</v>
      </c>
      <c r="D16" t="s">
        <v>288</v>
      </c>
      <c r="E16" s="21" t="s">
        <v>276</v>
      </c>
    </row>
    <row r="17" spans="1:5" x14ac:dyDescent="0.25">
      <c r="A17" t="s">
        <v>270</v>
      </c>
      <c r="B17" t="s">
        <v>269</v>
      </c>
      <c r="C17" s="20">
        <v>46207</v>
      </c>
      <c r="D17" t="s">
        <v>288</v>
      </c>
      <c r="E17" s="21" t="s">
        <v>278</v>
      </c>
    </row>
    <row r="18" spans="1:5" x14ac:dyDescent="0.25">
      <c r="A18" t="s">
        <v>279</v>
      </c>
      <c r="B18" t="s">
        <v>287</v>
      </c>
      <c r="C18" s="20">
        <v>46207</v>
      </c>
      <c r="D18" t="s">
        <v>288</v>
      </c>
      <c r="E18" t="s">
        <v>289</v>
      </c>
    </row>
    <row r="19" spans="1:5" x14ac:dyDescent="0.25">
      <c r="A19" t="s">
        <v>279</v>
      </c>
      <c r="B19" t="s">
        <v>290</v>
      </c>
      <c r="C19" s="20">
        <v>46207</v>
      </c>
      <c r="D19" t="s">
        <v>288</v>
      </c>
      <c r="E19" t="s">
        <v>291</v>
      </c>
    </row>
    <row r="20" spans="1:5" x14ac:dyDescent="0.25">
      <c r="A20" t="s">
        <v>279</v>
      </c>
      <c r="B20" t="s">
        <v>292</v>
      </c>
      <c r="C20" s="20">
        <v>46208</v>
      </c>
      <c r="D20" t="s">
        <v>288</v>
      </c>
      <c r="E20" s="22" t="s">
        <v>274</v>
      </c>
    </row>
    <row r="21" spans="1:5" x14ac:dyDescent="0.25">
      <c r="A21" t="s">
        <v>279</v>
      </c>
      <c r="B21" t="s">
        <v>293</v>
      </c>
      <c r="C21" s="20">
        <v>46208</v>
      </c>
      <c r="D21" t="s">
        <v>288</v>
      </c>
      <c r="E21" s="22" t="s">
        <v>294</v>
      </c>
    </row>
    <row r="22" spans="1:5" x14ac:dyDescent="0.25">
      <c r="A22" t="s">
        <v>279</v>
      </c>
      <c r="B22" t="s">
        <v>280</v>
      </c>
      <c r="C22" s="20">
        <v>46209</v>
      </c>
      <c r="D22" t="s">
        <v>288</v>
      </c>
      <c r="E22" s="22" t="s">
        <v>253</v>
      </c>
    </row>
    <row r="23" spans="1:5" x14ac:dyDescent="0.25">
      <c r="A23" t="s">
        <v>279</v>
      </c>
      <c r="B23" t="s">
        <v>295</v>
      </c>
      <c r="C23" s="20">
        <v>46210</v>
      </c>
      <c r="D23" t="s">
        <v>288</v>
      </c>
      <c r="E23" s="22" t="s">
        <v>297</v>
      </c>
    </row>
    <row r="24" spans="1:5" x14ac:dyDescent="0.25">
      <c r="A24" t="s">
        <v>279</v>
      </c>
      <c r="B24" t="s">
        <v>282</v>
      </c>
      <c r="C24" s="20">
        <v>46210</v>
      </c>
      <c r="D24" t="s">
        <v>288</v>
      </c>
      <c r="E24" s="21" t="s">
        <v>276</v>
      </c>
    </row>
    <row r="25" spans="1:5" x14ac:dyDescent="0.25">
      <c r="A25" t="s">
        <v>279</v>
      </c>
      <c r="B25" t="s">
        <v>283</v>
      </c>
      <c r="C25" s="20">
        <v>46209</v>
      </c>
      <c r="D25" t="s">
        <v>288</v>
      </c>
      <c r="E25" s="21" t="s">
        <v>298</v>
      </c>
    </row>
    <row r="26" spans="1:5" x14ac:dyDescent="0.25">
      <c r="A26" t="s">
        <v>284</v>
      </c>
      <c r="B26" t="s">
        <v>285</v>
      </c>
      <c r="C26" s="20">
        <v>46212</v>
      </c>
      <c r="D26" t="s">
        <v>288</v>
      </c>
      <c r="E26" s="21" t="s">
        <v>164</v>
      </c>
    </row>
    <row r="27" spans="1:5" x14ac:dyDescent="0.25">
      <c r="A27" t="s">
        <v>284</v>
      </c>
      <c r="B27" t="s">
        <v>296</v>
      </c>
      <c r="C27" s="20">
        <v>46213</v>
      </c>
      <c r="D27" t="s">
        <v>288</v>
      </c>
      <c r="E27" s="21" t="s">
        <v>271</v>
      </c>
    </row>
    <row r="28" spans="1:5" x14ac:dyDescent="0.25">
      <c r="A28" t="s">
        <v>284</v>
      </c>
      <c r="B28" t="s">
        <v>286</v>
      </c>
      <c r="C28" s="20">
        <v>46214</v>
      </c>
      <c r="D28" t="s">
        <v>288</v>
      </c>
      <c r="E28" s="21" t="s">
        <v>303</v>
      </c>
    </row>
    <row r="29" spans="1:5" x14ac:dyDescent="0.25">
      <c r="A29" t="s">
        <v>284</v>
      </c>
      <c r="B29" t="s">
        <v>299</v>
      </c>
      <c r="C29" s="20">
        <v>46215</v>
      </c>
      <c r="D29" t="s">
        <v>288</v>
      </c>
      <c r="E29" s="21" t="s">
        <v>215</v>
      </c>
    </row>
    <row r="30" spans="1:5" x14ac:dyDescent="0.25">
      <c r="A30" t="s">
        <v>300</v>
      </c>
      <c r="B30" t="s">
        <v>301</v>
      </c>
      <c r="C30" s="20">
        <v>46217</v>
      </c>
      <c r="D30" t="s">
        <v>281</v>
      </c>
      <c r="E30" t="s">
        <v>228</v>
      </c>
    </row>
    <row r="31" spans="1:5" x14ac:dyDescent="0.25">
      <c r="A31" t="s">
        <v>300</v>
      </c>
      <c r="B31" t="s">
        <v>302</v>
      </c>
      <c r="C31" s="20">
        <v>46218</v>
      </c>
      <c r="D31" t="s">
        <v>281</v>
      </c>
      <c r="E31" t="s">
        <v>228</v>
      </c>
    </row>
    <row r="32" spans="1:5" x14ac:dyDescent="0.25">
      <c r="A32" t="s">
        <v>304</v>
      </c>
      <c r="B32" t="s">
        <v>307</v>
      </c>
      <c r="C32" s="20">
        <v>46221</v>
      </c>
      <c r="D32" t="s">
        <v>306</v>
      </c>
      <c r="E32" t="s">
        <v>228</v>
      </c>
    </row>
    <row r="33" spans="1:5" x14ac:dyDescent="0.25">
      <c r="A33" t="s">
        <v>305</v>
      </c>
      <c r="B33" t="s">
        <v>307</v>
      </c>
      <c r="C33" s="20">
        <v>46222</v>
      </c>
      <c r="D33" t="s">
        <v>281</v>
      </c>
      <c r="E33" t="s">
        <v>228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F49"/>
  <sheetViews>
    <sheetView topLeftCell="BR4" zoomScale="115" zoomScaleNormal="115" workbookViewId="0">
      <selection activeCell="BR20" sqref="A20:XFD20"/>
    </sheetView>
  </sheetViews>
  <sheetFormatPr baseColWidth="10" defaultColWidth="9.140625" defaultRowHeight="15" x14ac:dyDescent="0.25"/>
  <cols>
    <col min="1" max="1" width="29.42578125" bestFit="1" customWidth="1"/>
    <col min="2" max="2" width="29.42578125" customWidth="1"/>
    <col min="3" max="3" width="15.140625" bestFit="1" customWidth="1"/>
    <col min="4" max="4" width="19.42578125" bestFit="1" customWidth="1"/>
    <col min="5" max="5" width="9.5703125" bestFit="1" customWidth="1"/>
    <col min="6" max="6" width="11.140625" bestFit="1" customWidth="1"/>
    <col min="7" max="7" width="11.85546875" bestFit="1" customWidth="1"/>
    <col min="8" max="8" width="12.5703125" bestFit="1" customWidth="1"/>
    <col min="9" max="9" width="13" bestFit="1" customWidth="1"/>
    <col min="10" max="10" width="9.5703125" bestFit="1" customWidth="1"/>
    <col min="11" max="11" width="8.85546875" bestFit="1" customWidth="1"/>
    <col min="12" max="12" width="9.7109375" bestFit="1" customWidth="1"/>
    <col min="13" max="13" width="9.5703125" bestFit="1" customWidth="1"/>
    <col min="14" max="14" width="10.28515625" bestFit="1" customWidth="1"/>
    <col min="15" max="15" width="15.140625" bestFit="1" customWidth="1"/>
    <col min="16" max="16" width="19.42578125" bestFit="1" customWidth="1"/>
    <col min="17" max="17" width="10" bestFit="1" customWidth="1"/>
    <col min="18" max="18" width="11.140625" bestFit="1" customWidth="1"/>
    <col min="19" max="19" width="12" bestFit="1" customWidth="1"/>
    <col min="20" max="20" width="12.5703125" bestFit="1" customWidth="1"/>
    <col min="21" max="21" width="13" bestFit="1" customWidth="1"/>
    <col min="22" max="22" width="10" bestFit="1" customWidth="1"/>
    <col min="23" max="23" width="9.28515625" bestFit="1" customWidth="1"/>
    <col min="24" max="24" width="9.7109375" bestFit="1" customWidth="1"/>
    <col min="25" max="25" width="10" bestFit="1" customWidth="1"/>
    <col min="26" max="26" width="10.28515625" bestFit="1" customWidth="1"/>
    <col min="27" max="27" width="15.140625" bestFit="1" customWidth="1"/>
    <col min="28" max="28" width="19.42578125" bestFit="1" customWidth="1"/>
    <col min="29" max="29" width="9.5703125" bestFit="1" customWidth="1"/>
    <col min="30" max="30" width="11.140625" bestFit="1" customWidth="1"/>
    <col min="31" max="31" width="11.85546875" bestFit="1" customWidth="1"/>
    <col min="32" max="32" width="12.5703125" bestFit="1" customWidth="1"/>
    <col min="33" max="33" width="13" bestFit="1" customWidth="1"/>
    <col min="34" max="34" width="13.7109375" bestFit="1" customWidth="1"/>
    <col min="35" max="35" width="8.85546875" bestFit="1" customWidth="1"/>
    <col min="36" max="36" width="9.28515625" bestFit="1" customWidth="1"/>
    <col min="37" max="37" width="10.7109375" bestFit="1" customWidth="1"/>
    <col min="38" max="38" width="9.42578125" bestFit="1" customWidth="1"/>
    <col min="39" max="40" width="13.140625" bestFit="1" customWidth="1"/>
    <col min="41" max="41" width="19.42578125" bestFit="1" customWidth="1"/>
    <col min="42" max="43" width="12.5703125" bestFit="1" customWidth="1"/>
    <col min="44" max="44" width="13.42578125" bestFit="1" customWidth="1"/>
    <col min="45" max="46" width="12.5703125" bestFit="1" customWidth="1"/>
    <col min="47" max="47" width="11.140625" bestFit="1" customWidth="1"/>
    <col min="48" max="48" width="12.5703125" bestFit="1" customWidth="1"/>
    <col min="49" max="49" width="15.140625" bestFit="1" customWidth="1"/>
    <col min="50" max="50" width="11.85546875" bestFit="1" customWidth="1"/>
    <col min="51" max="51" width="13.140625" bestFit="1" customWidth="1"/>
    <col min="52" max="52" width="12.5703125" bestFit="1" customWidth="1"/>
    <col min="53" max="54" width="11.140625" bestFit="1" customWidth="1"/>
    <col min="55" max="55" width="9.85546875" bestFit="1" customWidth="1"/>
    <col min="56" max="65" width="12.5703125" bestFit="1" customWidth="1"/>
    <col min="66" max="66" width="10.28515625" bestFit="1" customWidth="1"/>
    <col min="67" max="68" width="12.5703125" bestFit="1" customWidth="1"/>
    <col min="69" max="69" width="10.28515625" bestFit="1" customWidth="1"/>
    <col min="70" max="70" width="12.85546875" style="6" bestFit="1" customWidth="1"/>
    <col min="71" max="71" width="14.140625" bestFit="1" customWidth="1"/>
    <col min="72" max="72" width="15.140625" bestFit="1" customWidth="1"/>
    <col min="73" max="73" width="14.140625" bestFit="1" customWidth="1"/>
    <col min="74" max="74" width="14.5703125" bestFit="1" customWidth="1"/>
    <col min="75" max="75" width="14.140625" bestFit="1" customWidth="1"/>
    <col min="76" max="76" width="13.28515625" bestFit="1" customWidth="1"/>
    <col min="77" max="77" width="12.42578125" bestFit="1" customWidth="1"/>
    <col min="78" max="78" width="12.140625" bestFit="1" customWidth="1"/>
    <col min="79" max="79" width="15.140625" bestFit="1" customWidth="1"/>
    <col min="80" max="80" width="13.5703125" bestFit="1" customWidth="1"/>
    <col min="81" max="81" width="10.7109375" bestFit="1" customWidth="1"/>
    <col min="82" max="82" width="13.85546875" bestFit="1" customWidth="1"/>
    <col min="83" max="83" width="13.85546875" customWidth="1"/>
    <col min="84" max="84" width="11.140625" style="7" bestFit="1" customWidth="1"/>
  </cols>
  <sheetData>
    <row r="1" spans="1:84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9" t="s">
        <v>69</v>
      </c>
      <c r="BS1" s="4" t="s">
        <v>70</v>
      </c>
      <c r="BT1" s="4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8" t="s">
        <v>83</v>
      </c>
    </row>
    <row r="2" spans="1:84" x14ac:dyDescent="0.25">
      <c r="A2" t="s">
        <v>173</v>
      </c>
      <c r="B2" t="s">
        <v>85</v>
      </c>
      <c r="C2" t="s">
        <v>86</v>
      </c>
      <c r="D2" t="s">
        <v>87</v>
      </c>
      <c r="E2" t="s">
        <v>88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101</v>
      </c>
      <c r="S2" t="s">
        <v>102</v>
      </c>
      <c r="T2" t="s">
        <v>114</v>
      </c>
      <c r="U2" t="s">
        <v>115</v>
      </c>
      <c r="V2" t="s">
        <v>105</v>
      </c>
      <c r="W2" t="s">
        <v>117</v>
      </c>
      <c r="X2" t="s">
        <v>107</v>
      </c>
      <c r="Y2" t="s">
        <v>108</v>
      </c>
      <c r="Z2" t="s">
        <v>109</v>
      </c>
      <c r="AA2" t="s">
        <v>110</v>
      </c>
      <c r="AB2" t="s">
        <v>245</v>
      </c>
      <c r="AC2" t="s">
        <v>111</v>
      </c>
      <c r="AD2" t="s">
        <v>112</v>
      </c>
      <c r="AE2" t="s">
        <v>113</v>
      </c>
      <c r="AF2" t="s">
        <v>103</v>
      </c>
      <c r="AG2" t="s">
        <v>104</v>
      </c>
      <c r="AH2" t="s">
        <v>142</v>
      </c>
      <c r="AI2" t="s">
        <v>106</v>
      </c>
      <c r="AJ2" t="s">
        <v>118</v>
      </c>
      <c r="AK2" t="s">
        <v>119</v>
      </c>
      <c r="AL2" t="s">
        <v>120</v>
      </c>
      <c r="AM2" t="s">
        <v>90</v>
      </c>
      <c r="AN2" t="s">
        <v>94</v>
      </c>
      <c r="AO2" t="s">
        <v>98</v>
      </c>
      <c r="AP2" t="s">
        <v>91</v>
      </c>
      <c r="AQ2" t="s">
        <v>108</v>
      </c>
      <c r="AR2" t="s">
        <v>93</v>
      </c>
      <c r="AS2" t="s">
        <v>89</v>
      </c>
      <c r="AT2" t="s">
        <v>92</v>
      </c>
      <c r="AU2" t="s">
        <v>88</v>
      </c>
      <c r="AV2" t="s">
        <v>102</v>
      </c>
      <c r="AW2" t="s">
        <v>86</v>
      </c>
      <c r="AX2" t="s">
        <v>97</v>
      </c>
      <c r="AY2" t="s">
        <v>95</v>
      </c>
      <c r="AZ2" t="s">
        <v>101</v>
      </c>
      <c r="BA2" t="s">
        <v>87</v>
      </c>
      <c r="BB2" t="s">
        <v>96</v>
      </c>
      <c r="BC2" t="s">
        <v>94</v>
      </c>
      <c r="BD2" t="s">
        <v>91</v>
      </c>
      <c r="BE2" t="s">
        <v>93</v>
      </c>
      <c r="BF2" t="s">
        <v>92</v>
      </c>
      <c r="BG2" t="s">
        <v>88</v>
      </c>
      <c r="BH2" t="s">
        <v>97</v>
      </c>
      <c r="BI2" t="s">
        <v>95</v>
      </c>
      <c r="BJ2" t="s">
        <v>96</v>
      </c>
      <c r="BK2" t="s">
        <v>94</v>
      </c>
      <c r="BL2" t="s">
        <v>93</v>
      </c>
      <c r="BM2" t="s">
        <v>88</v>
      </c>
      <c r="BN2" t="s">
        <v>95</v>
      </c>
      <c r="BO2" t="s">
        <v>94</v>
      </c>
      <c r="BP2" t="s">
        <v>95</v>
      </c>
      <c r="BQ2" t="s">
        <v>95</v>
      </c>
      <c r="BS2" t="s">
        <v>157</v>
      </c>
      <c r="BT2" t="s">
        <v>128</v>
      </c>
      <c r="BU2">
        <f>IF(C2='Resultats Reals'!$C$2,2,IF(OR(C2='Resultats Reals'!$C$3,COUNTIF('Resultats Reals'!$E$2:$E$33,C2)&gt;0),1,0))+IF(D2='Resultats Reals'!$C$5,2,IF(OR(D2='Resultats Reals'!$C$6,COUNTIF('Resultats Reals'!$E$2:$E$33,D2)&gt;0),1,0))+IF(E2='Resultats Reals'!$C$8,2,IF(OR(E2='Resultats Reals'!$C$9,COUNTIF('Resultats Reals'!$E$2:$E$33,E2)&gt;0),1,0))+IF(F2='Resultats Reals'!$C$11,2,IF(OR(F2='Resultats Reals'!$C$12,COUNTIF('Resultats Reals'!$E$2:$E$33,F2)&gt;0),1,0))+IF(G2='Resultats Reals'!$C$14,2,IF(OR(G2='Resultats Reals'!$C$15,COUNTIF('Resultats Reals'!$E$2:$E$33,G2)&gt;0),1,0))+IF(H2='Resultats Reals'!$C$17,2,IF(OR(H2='Resultats Reals'!$C$18,COUNTIF('Resultats Reals'!$E$2:$E$33,H2)&gt;0),1,0))+IF(I2='Resultats Reals'!$C$20,2,IF(OR(I2='Resultats Reals'!$C$21,COUNTIF('Resultats Reals'!$E$2:$E$33,I2)&gt;0),1,0))+IF(J2='Resultats Reals'!$C$23,2,IF(OR(J2='Resultats Reals'!$C$24,COUNTIF('Resultats Reals'!$E$2:$E$33,J2)&gt;0),1,0))+IF(K2='Resultats Reals'!$C$26,2,IF(OR(K2='Resultats Reals'!$C$27,COUNTIF('Resultats Reals'!$E$2:$E$33,K2)&gt;0),1,0))+IF(L2='Resultats Reals'!$C$29,2,IF(OR(L2='Resultats Reals'!$C$30,COUNTIF('Resultats Reals'!$E$2:$E$33,L2)&gt;0),1,0))+IF(M2='Resultats Reals'!$C$32,2,IF(OR(M2='Resultats Reals'!$C$33,COUNTIF('Resultats Reals'!$E$2:$E$33,M2)&gt;0),1,0))+IF(N2='Resultats Reals'!$C$35,2,IF(OR(N2='Resultats Reals'!$C$36,COUNTIF('Resultats Reals'!$E$2:$E$33,N2)&gt;0),1,0))</f>
        <v>23</v>
      </c>
      <c r="BV2">
        <f>IF(O2='Resultats Reals'!$C$3,2,IF(OR(O2='Resultats Reals'!$C$2,COUNTIF('Resultats Reals'!$E$2:$E$33,O2)&gt;0),1,0))+IF(P2='Resultats Reals'!$C$6,2,IF(OR(P2='Resultats Reals'!$C$5,COUNTIF('Resultats Reals'!$E$2:$E$33,P2)&gt;0),1,0))+IF(Q2='Resultats Reals'!$C$9,2,IF(OR(Q2='Resultats Reals'!$C$8,COUNTIF('Resultats Reals'!$E$2:$E$33,Q2)&gt;0),1,0))+IF(R2='Resultats Reals'!$C$12,2,IF(OR(R2='Resultats Reals'!$C$11,COUNTIF('Resultats Reals'!$E$2:$E$33,R2)&gt;0),1,0))+IF(S2='Resultats Reals'!$C$15,2,IF(OR(S2='Resultats Reals'!$C$14,COUNTIF('Resultats Reals'!$E$2:$E$33,S2)&gt;0),1,0))+IF(T2='Resultats Reals'!$C$18,2,IF(OR(T2='Resultats Reals'!$C$17,COUNTIF('Resultats Reals'!$E$2:$E$33,T2)&gt;0),1,0))+IF(U2='Resultats Reals'!$C$21,2,IF(OR(U2='Resultats Reals'!$C$20,COUNTIF('Resultats Reals'!$E$2:$E$33,U2)&gt;0),1,0))+IF(V2='Resultats Reals'!$C$24,2,IF(OR(V2='Resultats Reals'!$C$23,COUNTIF('Resultats Reals'!$E$2:$E$33,V2)&gt;0),1,0))+IF(W2='Resultats Reals'!$C$27,2,IF(OR(W2='Resultats Reals'!$C$26,COUNTIF('Resultats Reals'!$E$2:$E$33,W2)&gt;0),1,0))+IF(X2='Resultats Reals'!$C$30,2,IF(OR(X2='Resultats Reals'!$C$29,COUNTIF('Resultats Reals'!$E$2:$E$33,X2)&gt;0),1,0))+IF(Y2='Resultats Reals'!$C$33,2,IF(OR(Y2='Resultats Reals'!$C$32,COUNTIF('Resultats Reals'!$E$2:$E$33,Y2)&gt;0),1,0))+IF(Z2='Resultats Reals'!$C$36,2,IF(OR(Z2='Resultats Reals'!$C$35,COUNTIF('Resultats Reals'!$E$2:$E$33,Z2)&gt;0),1,0))</f>
        <v>14</v>
      </c>
      <c r="BW2">
        <f>IF(AA2='Resultats Reals'!$C$4,IF(COUNTIF('Resultats Reals'!$E$2:$E$33,AA2)&gt;0,2,0.5),IF(OR(AA2='Resultats Reals'!$C$2,AA2='Resultats Reals'!$C$3,COUNTIF('Resultats Reals'!$E$2:$E$33,AA2)&gt;0),1,0))+IF(AB2='Resultats Reals'!$C$7,IF(COUNTIF('Resultats Reals'!$E$2:$E$33,AB2)&gt;0,2,0.5),IF(OR(AB2='Resultats Reals'!$C$5,AB2='Resultats Reals'!$C$6,COUNTIF('Resultats Reals'!$E$2:$E$33,AB2)&gt;0),1,0))+IF(AC2='Resultats Reals'!$C$10,IF(COUNTIF('Resultats Reals'!$E$2:$E$33,AC2)&gt;0,2,0.5),IF(OR(AC2='Resultats Reals'!$C$8,AC2='Resultats Reals'!$C$9,COUNTIF('Resultats Reals'!$E$2:$E$33,AC2)&gt;0),1,0))+IF(AD2='Resultats Reals'!$C$13,IF(COUNTIF('Resultats Reals'!$E$2:$E$33,AD2)&gt;0,2,0.5),IF(OR(AD2='Resultats Reals'!$C$11,AD2='Resultats Reals'!$C$12,COUNTIF('Resultats Reals'!$E$2:$E$33,AD2)&gt;0),1,0))+IF(AE2='Resultats Reals'!$C$16,IF(COUNTIF('Resultats Reals'!$E$2:$E$33,AE2)&gt;0,2,0.5),IF(OR(AE2='Resultats Reals'!$C$14,AE2='Resultats Reals'!$C$15,COUNTIF('Resultats Reals'!$E$2:$E$33,AE2)&gt;0),1,0))+IF(AF2='Resultats Reals'!$C$19,IF(COUNTIF('Resultats Reals'!$E$2:$E$33,AF2)&gt;0,2,0.5),IF(OR(AF2='Resultats Reals'!$C$17,AF2='Resultats Reals'!$C$18,COUNTIF('Resultats Reals'!$E$2:$E$33,AF2)&gt;0),1,0))+IF(AG2='Resultats Reals'!$C$22,IF(COUNTIF('Resultats Reals'!$E$2:$E$33,AG2)&gt;0,2,0.5),IF(OR(AG2='Resultats Reals'!$C$20,AG2='Resultats Reals'!$C$21,COUNTIF('Resultats Reals'!$E$2:$E$33,AG2)&gt;0),1,0))+IF(AH2='Resultats Reals'!$C$25,IF(COUNTIF('Resultats Reals'!$E$2:$E$33,AH2)&gt;0,2,0.5),IF(OR(AH2='Resultats Reals'!$C$23,AH2='Resultats Reals'!$C$24,COUNTIF('Resultats Reals'!$E$2:$E$33,AH2)&gt;0),1,0))+IF(AI2='Resultats Reals'!$C$28,IF(COUNTIF('Resultats Reals'!$E$2:$E$33,AI2)&gt;0,2,0.5),IF(OR(AI2='Resultats Reals'!$C$26,AI2='Resultats Reals'!$C$27,COUNTIF('Resultats Reals'!$E$2:$E$33,AI2)&gt;0),1,0))+IF(AJ2='Resultats Reals'!$C$31,IF(COUNTIF('Resultats Reals'!$E$2:$E$33,AJ2)&gt;0,2,0.5),IF(OR(AJ2='Resultats Reals'!$C$29,AJ2='Resultats Reals'!$C$30,COUNTIF('Resultats Reals'!$E$2:$E$33,AJ2)&gt;0),1,0))+IF(AK2='Resultats Reals'!$C$34,IF(COUNTIF('Resultats Reals'!$E$2:$E$33,AK2)&gt;0,2,0.5),IF(OR(AK2='Resultats Reals'!$C$32,AK2='Resultats Reals'!$C$33,COUNTIF('Resultats Reals'!$E$2:$E$33,AK2)&gt;0),1,0))+IF(AL2='Resultats Reals'!$C$37,IF(COUNTIF('Resultats Reals'!$E$2:$E$33,AL2)&gt;0,2,0.5),IF(OR(AL2='Resultats Reals'!$C$35,AL2='Resultats Reals'!$C$36,COUNTIF('Resultats Reals'!$E$2:$E$33,AL2)&gt;0),1,0))</f>
        <v>15.5</v>
      </c>
      <c r="BX2">
        <f>IF(COUNTIF('Resultats Reals'!$F$2:$F$17,AM2)&gt;0,1,0)+IF(COUNTIF('Resultats Reals'!$F$2:$F$17,AN2)&gt;0,1,0)+IF(COUNTIF('Resultats Reals'!$F$2:$F$17,AO2)&gt;0,1,0)+IF(COUNTIF('Resultats Reals'!$F$2:$F$17,AP2)&gt;0,1,0)+IF(COUNTIF('Resultats Reals'!$F$2:$F$17,AQ2)&gt;0,1,0)+IF(COUNTIF('Resultats Reals'!$F$2:$F$17,AR2)&gt;0,1,0)+IF(COUNTIF('Resultats Reals'!$F$2:$F$17,AS2)&gt;0,1,0)+IF(COUNTIF('Resultats Reals'!$F$2:$F$17,AT2)&gt;0,1,0)+IF(COUNTIF('Resultats Reals'!$F$2:$F$17,AU2)&gt;0,1,0)+IF(COUNTIF('Resultats Reals'!$F$2:$F$17,AV2)&gt;0,1,0)+IF(COUNTIF('Resultats Reals'!$F$2:$F$17,AW2)&gt;0,1,0)+IF(COUNTIF('Resultats Reals'!$F$2:$F$17,AX2)&gt;0,1,0)+IF(COUNTIF('Resultats Reals'!$F$2:$F$17,AY2)&gt;0,1,0)+IF(COUNTIF('Resultats Reals'!$F$2:$F$17,AZ2)&gt;0,1,0)+IF(COUNTIF('Resultats Reals'!$F$2:$F$17,BA2)&gt;0,1,0)+IF(COUNTIF('Resultats Reals'!$F$2:$F$17,BB2)&gt;0,1,0)</f>
        <v>11</v>
      </c>
      <c r="BY2">
        <f>IF(COUNTIF('Resultats Reals'!$G$2:$G$9,BC2)&gt;0,1,0)+IF(COUNTIF('Resultats Reals'!$G$2:$G$9,BD2)&gt;0,1,0)+IF(COUNTIF('Resultats Reals'!$G$2:$G$9,BE2)&gt;0,1,0)+IF(COUNTIF('Resultats Reals'!$G$2:$G$9,BF2)&gt;0,1,0)+IF(COUNTIF('Resultats Reals'!$G$2:$G$9,BG2)&gt;0,1,0)+IF(COUNTIF('Resultats Reals'!$G$2:$G$9,BH2)&gt;0,1,0)+IF(COUNTIF('Resultats Reals'!$G$2:$G$9,BI2)&gt;0,1,0)+IF(COUNTIF('Resultats Reals'!$G$2:$G$9,BJ2)&gt;0,1,0)</f>
        <v>5</v>
      </c>
      <c r="BZ2">
        <f>IF(COUNTIF('Resultats Reals'!$H$2:$H$5,BK2)&gt;0,1,0)+IF(COUNTIF('Resultats Reals'!$H$2:$H$5,BL2)&gt;0,1,0)+IF(COUNTIF('Resultats Reals'!$H$2:$H$5,BM2)&gt;0,1,0)+IF(COUNTIF('Resultats Reals'!$H$2:$H$5,BN2)&gt;0,1,0)</f>
        <v>3</v>
      </c>
      <c r="CA2">
        <f>IF(COUNTIF('Resultats Reals'!$I$2:$I$3,BO2)&gt;0,3,0)+IF(COUNTIF('Resultats Reals'!$I$2:$I$3,BP2)&gt;0,3,0)</f>
        <v>0</v>
      </c>
      <c r="CB2">
        <f>IF(BQ2='Resultats Reals'!$J$2,5,0)</f>
        <v>0</v>
      </c>
      <c r="CC2">
        <f>IF(BS2='Resultats Reals'!$K$2,5,0)</f>
        <v>0</v>
      </c>
      <c r="CD2">
        <f>IFERROR(VLOOKUP(BT2,'Resultats Reals'!$N$2:$O$100,2,FALSE),0)</f>
        <v>8</v>
      </c>
      <c r="CE2">
        <f>IF(BR2='Resultats Reals'!$L$2,5,0)</f>
        <v>0</v>
      </c>
      <c r="CF2" s="7">
        <f t="shared" ref="CF2:CF49" si="0">SUM(BU2:CE2)</f>
        <v>79.5</v>
      </c>
    </row>
    <row r="3" spans="1:84" x14ac:dyDescent="0.25">
      <c r="A3" t="s">
        <v>134</v>
      </c>
      <c r="B3" t="s">
        <v>135</v>
      </c>
      <c r="C3" t="s">
        <v>86</v>
      </c>
      <c r="D3" t="s">
        <v>99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87</v>
      </c>
      <c r="Q3" t="s">
        <v>100</v>
      </c>
      <c r="R3" t="s">
        <v>101</v>
      </c>
      <c r="S3" t="s">
        <v>113</v>
      </c>
      <c r="T3" t="s">
        <v>114</v>
      </c>
      <c r="U3" t="s">
        <v>104</v>
      </c>
      <c r="V3" t="s">
        <v>105</v>
      </c>
      <c r="W3" t="s">
        <v>117</v>
      </c>
      <c r="X3" t="s">
        <v>107</v>
      </c>
      <c r="Y3" t="s">
        <v>108</v>
      </c>
      <c r="Z3" t="s">
        <v>109</v>
      </c>
      <c r="AA3" t="s">
        <v>110</v>
      </c>
      <c r="AB3" t="s">
        <v>125</v>
      </c>
      <c r="AC3" t="s">
        <v>111</v>
      </c>
      <c r="AD3" t="s">
        <v>126</v>
      </c>
      <c r="AE3" t="s">
        <v>102</v>
      </c>
      <c r="AF3" t="s">
        <v>103</v>
      </c>
      <c r="AG3" t="s">
        <v>115</v>
      </c>
      <c r="AH3" t="s">
        <v>116</v>
      </c>
      <c r="AI3" t="s">
        <v>106</v>
      </c>
      <c r="AJ3" t="s">
        <v>118</v>
      </c>
      <c r="AK3" t="s">
        <v>119</v>
      </c>
      <c r="AL3" t="s">
        <v>120</v>
      </c>
      <c r="AM3" t="s">
        <v>94</v>
      </c>
      <c r="AN3" t="s">
        <v>95</v>
      </c>
      <c r="AO3" t="s">
        <v>88</v>
      </c>
      <c r="AP3" t="s">
        <v>97</v>
      </c>
      <c r="AQ3" t="s">
        <v>93</v>
      </c>
      <c r="AR3" t="s">
        <v>90</v>
      </c>
      <c r="AS3" t="s">
        <v>96</v>
      </c>
      <c r="AT3" t="s">
        <v>91</v>
      </c>
      <c r="AU3" t="s">
        <v>89</v>
      </c>
      <c r="AV3" t="s">
        <v>86</v>
      </c>
      <c r="AW3" t="s">
        <v>105</v>
      </c>
      <c r="AX3" t="s">
        <v>100</v>
      </c>
      <c r="AY3" t="s">
        <v>109</v>
      </c>
      <c r="AZ3" t="s">
        <v>114</v>
      </c>
      <c r="BA3" t="s">
        <v>108</v>
      </c>
      <c r="BB3" t="s">
        <v>87</v>
      </c>
      <c r="BC3" t="s">
        <v>94</v>
      </c>
      <c r="BD3" t="s">
        <v>95</v>
      </c>
      <c r="BE3" t="s">
        <v>88</v>
      </c>
      <c r="BF3" t="s">
        <v>97</v>
      </c>
      <c r="BG3" t="s">
        <v>93</v>
      </c>
      <c r="BH3" t="s">
        <v>90</v>
      </c>
      <c r="BI3" t="s">
        <v>96</v>
      </c>
      <c r="BJ3" t="s">
        <v>91</v>
      </c>
      <c r="BK3" t="s">
        <v>94</v>
      </c>
      <c r="BL3" t="s">
        <v>95</v>
      </c>
      <c r="BM3" t="s">
        <v>93</v>
      </c>
      <c r="BN3" t="s">
        <v>88</v>
      </c>
      <c r="BO3" t="s">
        <v>94</v>
      </c>
      <c r="BP3" t="s">
        <v>93</v>
      </c>
      <c r="BQ3" t="s">
        <v>93</v>
      </c>
      <c r="BS3" t="s">
        <v>121</v>
      </c>
      <c r="BT3" t="s">
        <v>128</v>
      </c>
      <c r="BU3">
        <f>IF(C3='Resultats Reals'!$C$2,2,IF(OR(C3='Resultats Reals'!$C$3,COUNTIF('Resultats Reals'!$E$2:$E$33,C3)&gt;0),1,0))+IF(D3='Resultats Reals'!$C$5,2,IF(OR(D3='Resultats Reals'!$C$6,COUNTIF('Resultats Reals'!$E$2:$E$33,D3)&gt;0),1,0))+IF(E3='Resultats Reals'!$C$8,2,IF(OR(E3='Resultats Reals'!$C$9,COUNTIF('Resultats Reals'!$E$2:$E$33,E3)&gt;0),1,0))+IF(F3='Resultats Reals'!$C$11,2,IF(OR(F3='Resultats Reals'!$C$12,COUNTIF('Resultats Reals'!$E$2:$E$33,F3)&gt;0),1,0))+IF(G3='Resultats Reals'!$C$14,2,IF(OR(G3='Resultats Reals'!$C$15,COUNTIF('Resultats Reals'!$E$2:$E$33,G3)&gt;0),1,0))+IF(H3='Resultats Reals'!$C$17,2,IF(OR(H3='Resultats Reals'!$C$18,COUNTIF('Resultats Reals'!$E$2:$E$33,H3)&gt;0),1,0))+IF(I3='Resultats Reals'!$C$20,2,IF(OR(I3='Resultats Reals'!$C$21,COUNTIF('Resultats Reals'!$E$2:$E$33,I3)&gt;0),1,0))+IF(J3='Resultats Reals'!$C$23,2,IF(OR(J3='Resultats Reals'!$C$24,COUNTIF('Resultats Reals'!$E$2:$E$33,J3)&gt;0),1,0))+IF(K3='Resultats Reals'!$C$26,2,IF(OR(K3='Resultats Reals'!$C$27,COUNTIF('Resultats Reals'!$E$2:$E$33,K3)&gt;0),1,0))+IF(L3='Resultats Reals'!$C$29,2,IF(OR(L3='Resultats Reals'!$C$30,COUNTIF('Resultats Reals'!$E$2:$E$33,L3)&gt;0),1,0))+IF(M3='Resultats Reals'!$C$32,2,IF(OR(M3='Resultats Reals'!$C$33,COUNTIF('Resultats Reals'!$E$2:$E$33,M3)&gt;0),1,0))+IF(N3='Resultats Reals'!$C$35,2,IF(OR(N3='Resultats Reals'!$C$36,COUNTIF('Resultats Reals'!$E$2:$E$33,N3)&gt;0),1,0))</f>
        <v>22</v>
      </c>
      <c r="BV3">
        <f>IF(O3='Resultats Reals'!$C$3,2,IF(OR(O3='Resultats Reals'!$C$2,COUNTIF('Resultats Reals'!$E$2:$E$33,O3)&gt;0),1,0))+IF(P3='Resultats Reals'!$C$6,2,IF(OR(P3='Resultats Reals'!$C$5,COUNTIF('Resultats Reals'!$E$2:$E$33,P3)&gt;0),1,0))+IF(Q3='Resultats Reals'!$C$9,2,IF(OR(Q3='Resultats Reals'!$C$8,COUNTIF('Resultats Reals'!$E$2:$E$33,Q3)&gt;0),1,0))+IF(R3='Resultats Reals'!$C$12,2,IF(OR(R3='Resultats Reals'!$C$11,COUNTIF('Resultats Reals'!$E$2:$E$33,R3)&gt;0),1,0))+IF(S3='Resultats Reals'!$C$15,2,IF(OR(S3='Resultats Reals'!$C$14,COUNTIF('Resultats Reals'!$E$2:$E$33,S3)&gt;0),1,0))+IF(T3='Resultats Reals'!$C$18,2,IF(OR(T3='Resultats Reals'!$C$17,COUNTIF('Resultats Reals'!$E$2:$E$33,T3)&gt;0),1,0))+IF(U3='Resultats Reals'!$C$21,2,IF(OR(U3='Resultats Reals'!$C$20,COUNTIF('Resultats Reals'!$E$2:$E$33,U3)&gt;0),1,0))+IF(V3='Resultats Reals'!$C$24,2,IF(OR(V3='Resultats Reals'!$C$23,COUNTIF('Resultats Reals'!$E$2:$E$33,V3)&gt;0),1,0))+IF(W3='Resultats Reals'!$C$27,2,IF(OR(W3='Resultats Reals'!$C$26,COUNTIF('Resultats Reals'!$E$2:$E$33,W3)&gt;0),1,0))+IF(X3='Resultats Reals'!$C$30,2,IF(OR(X3='Resultats Reals'!$C$29,COUNTIF('Resultats Reals'!$E$2:$E$33,X3)&gt;0),1,0))+IF(Y3='Resultats Reals'!$C$33,2,IF(OR(Y3='Resultats Reals'!$C$32,COUNTIF('Resultats Reals'!$E$2:$E$33,Y3)&gt;0),1,0))+IF(Z3='Resultats Reals'!$C$36,2,IF(OR(Z3='Resultats Reals'!$C$35,COUNTIF('Resultats Reals'!$E$2:$E$33,Z3)&gt;0),1,0))</f>
        <v>16</v>
      </c>
      <c r="BW3">
        <f>IF(AA3='Resultats Reals'!$C$4,IF(COUNTIF('Resultats Reals'!$E$2:$E$33,AA3)&gt;0,2,0.5),IF(OR(AA3='Resultats Reals'!$C$2,AA3='Resultats Reals'!$C$3,COUNTIF('Resultats Reals'!$E$2:$E$33,AA3)&gt;0),1,0))+IF(AB3='Resultats Reals'!$C$7,IF(COUNTIF('Resultats Reals'!$E$2:$E$33,AB3)&gt;0,2,0.5),IF(OR(AB3='Resultats Reals'!$C$5,AB3='Resultats Reals'!$C$6,COUNTIF('Resultats Reals'!$E$2:$E$33,AB3)&gt;0),1,0))+IF(AC3='Resultats Reals'!$C$10,IF(COUNTIF('Resultats Reals'!$E$2:$E$33,AC3)&gt;0,2,0.5),IF(OR(AC3='Resultats Reals'!$C$8,AC3='Resultats Reals'!$C$9,COUNTIF('Resultats Reals'!$E$2:$E$33,AC3)&gt;0),1,0))+IF(AD3='Resultats Reals'!$C$13,IF(COUNTIF('Resultats Reals'!$E$2:$E$33,AD3)&gt;0,2,0.5),IF(OR(AD3='Resultats Reals'!$C$11,AD3='Resultats Reals'!$C$12,COUNTIF('Resultats Reals'!$E$2:$E$33,AD3)&gt;0),1,0))+IF(AE3='Resultats Reals'!$C$16,IF(COUNTIF('Resultats Reals'!$E$2:$E$33,AE3)&gt;0,2,0.5),IF(OR(AE3='Resultats Reals'!$C$14,AE3='Resultats Reals'!$C$15,COUNTIF('Resultats Reals'!$E$2:$E$33,AE3)&gt;0),1,0))+IF(AF3='Resultats Reals'!$C$19,IF(COUNTIF('Resultats Reals'!$E$2:$E$33,AF3)&gt;0,2,0.5),IF(OR(AF3='Resultats Reals'!$C$17,AF3='Resultats Reals'!$C$18,COUNTIF('Resultats Reals'!$E$2:$E$33,AF3)&gt;0),1,0))+IF(AG3='Resultats Reals'!$C$22,IF(COUNTIF('Resultats Reals'!$E$2:$E$33,AG3)&gt;0,2,0.5),IF(OR(AG3='Resultats Reals'!$C$20,AG3='Resultats Reals'!$C$21,COUNTIF('Resultats Reals'!$E$2:$E$33,AG3)&gt;0),1,0))+IF(AH3='Resultats Reals'!$C$25,IF(COUNTIF('Resultats Reals'!$E$2:$E$33,AH3)&gt;0,2,0.5),IF(OR(AH3='Resultats Reals'!$C$23,AH3='Resultats Reals'!$C$24,COUNTIF('Resultats Reals'!$E$2:$E$33,AH3)&gt;0),1,0))+IF(AI3='Resultats Reals'!$C$28,IF(COUNTIF('Resultats Reals'!$E$2:$E$33,AI3)&gt;0,2,0.5),IF(OR(AI3='Resultats Reals'!$C$26,AI3='Resultats Reals'!$C$27,COUNTIF('Resultats Reals'!$E$2:$E$33,AI3)&gt;0),1,0))+IF(AJ3='Resultats Reals'!$C$31,IF(COUNTIF('Resultats Reals'!$E$2:$E$33,AJ3)&gt;0,2,0.5),IF(OR(AJ3='Resultats Reals'!$C$29,AJ3='Resultats Reals'!$C$30,COUNTIF('Resultats Reals'!$E$2:$E$33,AJ3)&gt;0),1,0))+IF(AK3='Resultats Reals'!$C$34,IF(COUNTIF('Resultats Reals'!$E$2:$E$33,AK3)&gt;0,2,0.5),IF(OR(AK3='Resultats Reals'!$C$32,AK3='Resultats Reals'!$C$33,COUNTIF('Resultats Reals'!$E$2:$E$33,AK3)&gt;0),1,0))+IF(AL3='Resultats Reals'!$C$37,IF(COUNTIF('Resultats Reals'!$E$2:$E$33,AL3)&gt;0,2,0.5),IF(OR(AL3='Resultats Reals'!$C$35,AL3='Resultats Reals'!$C$36,COUNTIF('Resultats Reals'!$E$2:$E$33,AL3)&gt;0),1,0))</f>
        <v>12</v>
      </c>
      <c r="BX3">
        <f>IF(COUNTIF('Resultats Reals'!$F$2:$F$17,AM3)&gt;0,1,0)+IF(COUNTIF('Resultats Reals'!$F$2:$F$17,AN3)&gt;0,1,0)+IF(COUNTIF('Resultats Reals'!$F$2:$F$17,AO3)&gt;0,1,0)+IF(COUNTIF('Resultats Reals'!$F$2:$F$17,AP3)&gt;0,1,0)+IF(COUNTIF('Resultats Reals'!$F$2:$F$17,AQ3)&gt;0,1,0)+IF(COUNTIF('Resultats Reals'!$F$2:$F$17,AR3)&gt;0,1,0)+IF(COUNTIF('Resultats Reals'!$F$2:$F$17,AS3)&gt;0,1,0)+IF(COUNTIF('Resultats Reals'!$F$2:$F$17,AT3)&gt;0,1,0)+IF(COUNTIF('Resultats Reals'!$F$2:$F$17,AU3)&gt;0,1,0)+IF(COUNTIF('Resultats Reals'!$F$2:$F$17,AV3)&gt;0,1,0)+IF(COUNTIF('Resultats Reals'!$F$2:$F$17,AW3)&gt;0,1,0)+IF(COUNTIF('Resultats Reals'!$F$2:$F$17,AX3)&gt;0,1,0)+IF(COUNTIF('Resultats Reals'!$F$2:$F$17,AY3)&gt;0,1,0)+IF(COUNTIF('Resultats Reals'!$F$2:$F$17,AZ3)&gt;0,1,0)+IF(COUNTIF('Resultats Reals'!$F$2:$F$17,BA3)&gt;0,1,0)+IF(COUNTIF('Resultats Reals'!$F$2:$F$17,BB3)&gt;0,1,0)</f>
        <v>11</v>
      </c>
      <c r="BY3">
        <f>IF(COUNTIF('Resultats Reals'!$G$2:$G$9,BC3)&gt;0,1,0)+IF(COUNTIF('Resultats Reals'!$G$2:$G$9,BD3)&gt;0,1,0)+IF(COUNTIF('Resultats Reals'!$G$2:$G$9,BE3)&gt;0,1,0)+IF(COUNTIF('Resultats Reals'!$G$2:$G$9,BF3)&gt;0,1,0)+IF(COUNTIF('Resultats Reals'!$G$2:$G$9,BG3)&gt;0,1,0)+IF(COUNTIF('Resultats Reals'!$G$2:$G$9,BH3)&gt;0,1,0)+IF(COUNTIF('Resultats Reals'!$G$2:$G$9,BI3)&gt;0,1,0)+IF(COUNTIF('Resultats Reals'!$G$2:$G$9,BJ3)&gt;0,1,0)</f>
        <v>4</v>
      </c>
      <c r="BZ3">
        <f>IF(COUNTIF('Resultats Reals'!$H$2:$H$5,BK3)&gt;0,1,0)+IF(COUNTIF('Resultats Reals'!$H$2:$H$5,BL3)&gt;0,1,0)+IF(COUNTIF('Resultats Reals'!$H$2:$H$5,BM3)&gt;0,1,0)+IF(COUNTIF('Resultats Reals'!$H$2:$H$5,BN3)&gt;0,1,0)</f>
        <v>3</v>
      </c>
      <c r="CA3">
        <f>IF(COUNTIF('Resultats Reals'!$I$2:$I$3,BO3)&gt;0,3,0)+IF(COUNTIF('Resultats Reals'!$I$2:$I$3,BP3)&gt;0,3,0)</f>
        <v>0</v>
      </c>
      <c r="CB3">
        <f>IF(BQ3='Resultats Reals'!$J$2,5,0)</f>
        <v>0</v>
      </c>
      <c r="CC3">
        <f>IF(BS3='Resultats Reals'!$K$2,5,0)</f>
        <v>0</v>
      </c>
      <c r="CD3">
        <f>IFERROR(VLOOKUP(BT3,'Resultats Reals'!$N$2:$O$100,2,FALSE),0)</f>
        <v>8</v>
      </c>
      <c r="CE3">
        <f>IF(BR3='Resultats Reals'!$L$2,5,0)</f>
        <v>0</v>
      </c>
      <c r="CF3" s="7">
        <f t="shared" si="0"/>
        <v>76</v>
      </c>
    </row>
    <row r="4" spans="1:84" x14ac:dyDescent="0.25">
      <c r="A4" t="s">
        <v>213</v>
      </c>
      <c r="B4" t="s">
        <v>135</v>
      </c>
      <c r="C4" t="s">
        <v>86</v>
      </c>
      <c r="D4" t="s">
        <v>99</v>
      </c>
      <c r="E4" t="s">
        <v>88</v>
      </c>
      <c r="F4" t="s">
        <v>101</v>
      </c>
      <c r="G4" t="s">
        <v>90</v>
      </c>
      <c r="H4" t="s">
        <v>91</v>
      </c>
      <c r="I4" t="s">
        <v>92</v>
      </c>
      <c r="J4" t="s">
        <v>93</v>
      </c>
      <c r="K4" t="s">
        <v>94</v>
      </c>
      <c r="L4" t="s">
        <v>95</v>
      </c>
      <c r="M4" t="s">
        <v>108</v>
      </c>
      <c r="N4" t="s">
        <v>97</v>
      </c>
      <c r="O4" t="s">
        <v>110</v>
      </c>
      <c r="P4" t="s">
        <v>87</v>
      </c>
      <c r="Q4" t="s">
        <v>100</v>
      </c>
      <c r="R4" t="s">
        <v>89</v>
      </c>
      <c r="S4" t="s">
        <v>102</v>
      </c>
      <c r="T4" t="s">
        <v>114</v>
      </c>
      <c r="U4" t="s">
        <v>115</v>
      </c>
      <c r="V4" t="s">
        <v>105</v>
      </c>
      <c r="W4" t="s">
        <v>117</v>
      </c>
      <c r="X4" t="s">
        <v>118</v>
      </c>
      <c r="Y4" t="s">
        <v>96</v>
      </c>
      <c r="Z4" t="s">
        <v>120</v>
      </c>
      <c r="AA4" t="s">
        <v>130</v>
      </c>
      <c r="AB4" t="s">
        <v>245</v>
      </c>
      <c r="AC4" t="s">
        <v>111</v>
      </c>
      <c r="AD4" t="s">
        <v>112</v>
      </c>
      <c r="AE4" t="s">
        <v>113</v>
      </c>
      <c r="AF4" t="s">
        <v>103</v>
      </c>
      <c r="AG4" t="s">
        <v>104</v>
      </c>
      <c r="AH4" t="s">
        <v>116</v>
      </c>
      <c r="AI4" t="s">
        <v>106</v>
      </c>
      <c r="AJ4" t="s">
        <v>107</v>
      </c>
      <c r="AK4" t="s">
        <v>127</v>
      </c>
      <c r="AL4" t="s">
        <v>109</v>
      </c>
      <c r="AM4" t="s">
        <v>90</v>
      </c>
      <c r="AN4" t="s">
        <v>94</v>
      </c>
      <c r="AO4" t="s">
        <v>87</v>
      </c>
      <c r="AP4" t="s">
        <v>91</v>
      </c>
      <c r="AQ4" t="s">
        <v>96</v>
      </c>
      <c r="AR4" t="s">
        <v>93</v>
      </c>
      <c r="AS4" t="s">
        <v>101</v>
      </c>
      <c r="AT4" t="s">
        <v>92</v>
      </c>
      <c r="AU4" t="s">
        <v>88</v>
      </c>
      <c r="AV4" t="s">
        <v>117</v>
      </c>
      <c r="AW4" t="s">
        <v>86</v>
      </c>
      <c r="AX4" t="s">
        <v>97</v>
      </c>
      <c r="AY4" t="s">
        <v>95</v>
      </c>
      <c r="AZ4" t="s">
        <v>89</v>
      </c>
      <c r="BA4" t="s">
        <v>99</v>
      </c>
      <c r="BB4" t="s">
        <v>108</v>
      </c>
      <c r="BC4" t="s">
        <v>94</v>
      </c>
      <c r="BD4" t="s">
        <v>91</v>
      </c>
      <c r="BE4" t="s">
        <v>93</v>
      </c>
      <c r="BF4" t="s">
        <v>92</v>
      </c>
      <c r="BG4" t="s">
        <v>88</v>
      </c>
      <c r="BH4" t="s">
        <v>97</v>
      </c>
      <c r="BI4" t="s">
        <v>95</v>
      </c>
      <c r="BJ4" t="s">
        <v>108</v>
      </c>
      <c r="BK4" t="s">
        <v>94</v>
      </c>
      <c r="BL4" t="s">
        <v>93</v>
      </c>
      <c r="BM4" t="s">
        <v>97</v>
      </c>
      <c r="BN4" t="s">
        <v>95</v>
      </c>
      <c r="BO4" t="s">
        <v>93</v>
      </c>
      <c r="BP4" t="s">
        <v>97</v>
      </c>
      <c r="BQ4" t="s">
        <v>93</v>
      </c>
      <c r="BS4" t="s">
        <v>121</v>
      </c>
      <c r="BT4" t="s">
        <v>128</v>
      </c>
      <c r="BU4">
        <f>IF(C4='Resultats Reals'!$C$2,2,IF(OR(C4='Resultats Reals'!$C$3,COUNTIF('Resultats Reals'!$E$2:$E$33,C4)&gt;0),1,0))+IF(D4='Resultats Reals'!$C$5,2,IF(OR(D4='Resultats Reals'!$C$6,COUNTIF('Resultats Reals'!$E$2:$E$33,D4)&gt;0),1,0))+IF(E4='Resultats Reals'!$C$8,2,IF(OR(E4='Resultats Reals'!$C$9,COUNTIF('Resultats Reals'!$E$2:$E$33,E4)&gt;0),1,0))+IF(F4='Resultats Reals'!$C$11,2,IF(OR(F4='Resultats Reals'!$C$12,COUNTIF('Resultats Reals'!$E$2:$E$33,F4)&gt;0),1,0))+IF(G4='Resultats Reals'!$C$14,2,IF(OR(G4='Resultats Reals'!$C$15,COUNTIF('Resultats Reals'!$E$2:$E$33,G4)&gt;0),1,0))+IF(H4='Resultats Reals'!$C$17,2,IF(OR(H4='Resultats Reals'!$C$18,COUNTIF('Resultats Reals'!$E$2:$E$33,H4)&gt;0),1,0))+IF(I4='Resultats Reals'!$C$20,2,IF(OR(I4='Resultats Reals'!$C$21,COUNTIF('Resultats Reals'!$E$2:$E$33,I4)&gt;0),1,0))+IF(J4='Resultats Reals'!$C$23,2,IF(OR(J4='Resultats Reals'!$C$24,COUNTIF('Resultats Reals'!$E$2:$E$33,J4)&gt;0),1,0))+IF(K4='Resultats Reals'!$C$26,2,IF(OR(K4='Resultats Reals'!$C$27,COUNTIF('Resultats Reals'!$E$2:$E$33,K4)&gt;0),1,0))+IF(L4='Resultats Reals'!$C$29,2,IF(OR(L4='Resultats Reals'!$C$30,COUNTIF('Resultats Reals'!$E$2:$E$33,L4)&gt;0),1,0))+IF(M4='Resultats Reals'!$C$32,2,IF(OR(M4='Resultats Reals'!$C$33,COUNTIF('Resultats Reals'!$E$2:$E$33,M4)&gt;0),1,0))+IF(N4='Resultats Reals'!$C$35,2,IF(OR(N4='Resultats Reals'!$C$36,COUNTIF('Resultats Reals'!$E$2:$E$33,N4)&gt;0),1,0))</f>
        <v>21</v>
      </c>
      <c r="BV4">
        <f>IF(O4='Resultats Reals'!$C$3,2,IF(OR(O4='Resultats Reals'!$C$2,COUNTIF('Resultats Reals'!$E$2:$E$33,O4)&gt;0),1,0))+IF(P4='Resultats Reals'!$C$6,2,IF(OR(P4='Resultats Reals'!$C$5,COUNTIF('Resultats Reals'!$E$2:$E$33,P4)&gt;0),1,0))+IF(Q4='Resultats Reals'!$C$9,2,IF(OR(Q4='Resultats Reals'!$C$8,COUNTIF('Resultats Reals'!$E$2:$E$33,Q4)&gt;0),1,0))+IF(R4='Resultats Reals'!$C$12,2,IF(OR(R4='Resultats Reals'!$C$11,COUNTIF('Resultats Reals'!$E$2:$E$33,R4)&gt;0),1,0))+IF(S4='Resultats Reals'!$C$15,2,IF(OR(S4='Resultats Reals'!$C$14,COUNTIF('Resultats Reals'!$E$2:$E$33,S4)&gt;0),1,0))+IF(T4='Resultats Reals'!$C$18,2,IF(OR(T4='Resultats Reals'!$C$17,COUNTIF('Resultats Reals'!$E$2:$E$33,T4)&gt;0),1,0))+IF(U4='Resultats Reals'!$C$21,2,IF(OR(U4='Resultats Reals'!$C$20,COUNTIF('Resultats Reals'!$E$2:$E$33,U4)&gt;0),1,0))+IF(V4='Resultats Reals'!$C$24,2,IF(OR(V4='Resultats Reals'!$C$23,COUNTIF('Resultats Reals'!$E$2:$E$33,V4)&gt;0),1,0))+IF(W4='Resultats Reals'!$C$27,2,IF(OR(W4='Resultats Reals'!$C$26,COUNTIF('Resultats Reals'!$E$2:$E$33,W4)&gt;0),1,0))+IF(X4='Resultats Reals'!$C$30,2,IF(OR(X4='Resultats Reals'!$C$29,COUNTIF('Resultats Reals'!$E$2:$E$33,X4)&gt;0),1,0))+IF(Y4='Resultats Reals'!$C$33,2,IF(OR(Y4='Resultats Reals'!$C$32,COUNTIF('Resultats Reals'!$E$2:$E$33,Y4)&gt;0),1,0))+IF(Z4='Resultats Reals'!$C$36,2,IF(OR(Z4='Resultats Reals'!$C$35,COUNTIF('Resultats Reals'!$E$2:$E$33,Z4)&gt;0),1,0))</f>
        <v>13</v>
      </c>
      <c r="BW4">
        <f>IF(AA4='Resultats Reals'!$C$4,IF(COUNTIF('Resultats Reals'!$E$2:$E$33,AA4)&gt;0,2,0.5),IF(OR(AA4='Resultats Reals'!$C$2,AA4='Resultats Reals'!$C$3,COUNTIF('Resultats Reals'!$E$2:$E$33,AA4)&gt;0),1,0))+IF(AB4='Resultats Reals'!$C$7,IF(COUNTIF('Resultats Reals'!$E$2:$E$33,AB4)&gt;0,2,0.5),IF(OR(AB4='Resultats Reals'!$C$5,AB4='Resultats Reals'!$C$6,COUNTIF('Resultats Reals'!$E$2:$E$33,AB4)&gt;0),1,0))+IF(AC4='Resultats Reals'!$C$10,IF(COUNTIF('Resultats Reals'!$E$2:$E$33,AC4)&gt;0,2,0.5),IF(OR(AC4='Resultats Reals'!$C$8,AC4='Resultats Reals'!$C$9,COUNTIF('Resultats Reals'!$E$2:$E$33,AC4)&gt;0),1,0))+IF(AD4='Resultats Reals'!$C$13,IF(COUNTIF('Resultats Reals'!$E$2:$E$33,AD4)&gt;0,2,0.5),IF(OR(AD4='Resultats Reals'!$C$11,AD4='Resultats Reals'!$C$12,COUNTIF('Resultats Reals'!$E$2:$E$33,AD4)&gt;0),1,0))+IF(AE4='Resultats Reals'!$C$16,IF(COUNTIF('Resultats Reals'!$E$2:$E$33,AE4)&gt;0,2,0.5),IF(OR(AE4='Resultats Reals'!$C$14,AE4='Resultats Reals'!$C$15,COUNTIF('Resultats Reals'!$E$2:$E$33,AE4)&gt;0),1,0))+IF(AF4='Resultats Reals'!$C$19,IF(COUNTIF('Resultats Reals'!$E$2:$E$33,AF4)&gt;0,2,0.5),IF(OR(AF4='Resultats Reals'!$C$17,AF4='Resultats Reals'!$C$18,COUNTIF('Resultats Reals'!$E$2:$E$33,AF4)&gt;0),1,0))+IF(AG4='Resultats Reals'!$C$22,IF(COUNTIF('Resultats Reals'!$E$2:$E$33,AG4)&gt;0,2,0.5),IF(OR(AG4='Resultats Reals'!$C$20,AG4='Resultats Reals'!$C$21,COUNTIF('Resultats Reals'!$E$2:$E$33,AG4)&gt;0),1,0))+IF(AH4='Resultats Reals'!$C$25,IF(COUNTIF('Resultats Reals'!$E$2:$E$33,AH4)&gt;0,2,0.5),IF(OR(AH4='Resultats Reals'!$C$23,AH4='Resultats Reals'!$C$24,COUNTIF('Resultats Reals'!$E$2:$E$33,AH4)&gt;0),1,0))+IF(AI4='Resultats Reals'!$C$28,IF(COUNTIF('Resultats Reals'!$E$2:$E$33,AI4)&gt;0,2,0.5),IF(OR(AI4='Resultats Reals'!$C$26,AI4='Resultats Reals'!$C$27,COUNTIF('Resultats Reals'!$E$2:$E$33,AI4)&gt;0),1,0))+IF(AJ4='Resultats Reals'!$C$31,IF(COUNTIF('Resultats Reals'!$E$2:$E$33,AJ4)&gt;0,2,0.5),IF(OR(AJ4='Resultats Reals'!$C$29,AJ4='Resultats Reals'!$C$30,COUNTIF('Resultats Reals'!$E$2:$E$33,AJ4)&gt;0),1,0))+IF(AK4='Resultats Reals'!$C$34,IF(COUNTIF('Resultats Reals'!$E$2:$E$33,AK4)&gt;0,2,0.5),IF(OR(AK4='Resultats Reals'!$C$32,AK4='Resultats Reals'!$C$33,COUNTIF('Resultats Reals'!$E$2:$E$33,AK4)&gt;0),1,0))+IF(AL4='Resultats Reals'!$C$37,IF(COUNTIF('Resultats Reals'!$E$2:$E$33,AL4)&gt;0,2,0.5),IF(OR(AL4='Resultats Reals'!$C$35,AL4='Resultats Reals'!$C$36,COUNTIF('Resultats Reals'!$E$2:$E$33,AL4)&gt;0),1,0))</f>
        <v>15.5</v>
      </c>
      <c r="BX4">
        <f>IF(COUNTIF('Resultats Reals'!$F$2:$F$17,AM4)&gt;0,1,0)+IF(COUNTIF('Resultats Reals'!$F$2:$F$17,AN4)&gt;0,1,0)+IF(COUNTIF('Resultats Reals'!$F$2:$F$17,AO4)&gt;0,1,0)+IF(COUNTIF('Resultats Reals'!$F$2:$F$17,AP4)&gt;0,1,0)+IF(COUNTIF('Resultats Reals'!$F$2:$F$17,AQ4)&gt;0,1,0)+IF(COUNTIF('Resultats Reals'!$F$2:$F$17,AR4)&gt;0,1,0)+IF(COUNTIF('Resultats Reals'!$F$2:$F$17,AS4)&gt;0,1,0)+IF(COUNTIF('Resultats Reals'!$F$2:$F$17,AT4)&gt;0,1,0)+IF(COUNTIF('Resultats Reals'!$F$2:$F$17,AU4)&gt;0,1,0)+IF(COUNTIF('Resultats Reals'!$F$2:$F$17,AV4)&gt;0,1,0)+IF(COUNTIF('Resultats Reals'!$F$2:$F$17,AW4)&gt;0,1,0)+IF(COUNTIF('Resultats Reals'!$F$2:$F$17,AX4)&gt;0,1,0)+IF(COUNTIF('Resultats Reals'!$F$2:$F$17,AY4)&gt;0,1,0)+IF(COUNTIF('Resultats Reals'!$F$2:$F$17,AZ4)&gt;0,1,0)+IF(COUNTIF('Resultats Reals'!$F$2:$F$17,BA4)&gt;0,1,0)+IF(COUNTIF('Resultats Reals'!$F$2:$F$17,BB4)&gt;0,1,0)</f>
        <v>13</v>
      </c>
      <c r="BY4">
        <f>IF(COUNTIF('Resultats Reals'!$G$2:$G$9,BC4)&gt;0,1,0)+IF(COUNTIF('Resultats Reals'!$G$2:$G$9,BD4)&gt;0,1,0)+IF(COUNTIF('Resultats Reals'!$G$2:$G$9,BE4)&gt;0,1,0)+IF(COUNTIF('Resultats Reals'!$G$2:$G$9,BF4)&gt;0,1,0)+IF(COUNTIF('Resultats Reals'!$G$2:$G$9,BG4)&gt;0,1,0)+IF(COUNTIF('Resultats Reals'!$G$2:$G$9,BH4)&gt;0,1,0)+IF(COUNTIF('Resultats Reals'!$G$2:$G$9,BI4)&gt;0,1,0)+IF(COUNTIF('Resultats Reals'!$G$2:$G$9,BJ4)&gt;0,1,0)</f>
        <v>5</v>
      </c>
      <c r="BZ4">
        <f>IF(COUNTIF('Resultats Reals'!$H$2:$H$5,BK4)&gt;0,1,0)+IF(COUNTIF('Resultats Reals'!$H$2:$H$5,BL4)&gt;0,1,0)+IF(COUNTIF('Resultats Reals'!$H$2:$H$5,BM4)&gt;0,1,0)+IF(COUNTIF('Resultats Reals'!$H$2:$H$5,BN4)&gt;0,1,0)</f>
        <v>4</v>
      </c>
      <c r="CA4">
        <f>IF(COUNTIF('Resultats Reals'!$I$2:$I$3,BO4)&gt;0,3,0)+IF(COUNTIF('Resultats Reals'!$I$2:$I$3,BP4)&gt;0,3,0)</f>
        <v>0</v>
      </c>
      <c r="CB4">
        <f>IF(BQ4='Resultats Reals'!$J$2,5,0)</f>
        <v>0</v>
      </c>
      <c r="CC4">
        <f>IF(BS4='Resultats Reals'!$K$2,5,0)</f>
        <v>0</v>
      </c>
      <c r="CD4">
        <f>IFERROR(VLOOKUP(BT4,'Resultats Reals'!$N$2:$O$100,2,FALSE),0)</f>
        <v>8</v>
      </c>
      <c r="CE4">
        <f>IF(BR4='Resultats Reals'!$L$2,5,0)</f>
        <v>0</v>
      </c>
      <c r="CF4" s="7">
        <f t="shared" si="0"/>
        <v>79.5</v>
      </c>
    </row>
    <row r="5" spans="1:84" x14ac:dyDescent="0.25">
      <c r="A5" t="s">
        <v>204</v>
      </c>
      <c r="B5" t="s">
        <v>85</v>
      </c>
      <c r="C5" t="s">
        <v>86</v>
      </c>
      <c r="D5" t="s">
        <v>99</v>
      </c>
      <c r="E5" t="s">
        <v>88</v>
      </c>
      <c r="F5" t="s">
        <v>89</v>
      </c>
      <c r="G5" t="s">
        <v>90</v>
      </c>
      <c r="H5" t="s">
        <v>91</v>
      </c>
      <c r="I5" t="s">
        <v>92</v>
      </c>
      <c r="J5" t="s">
        <v>93</v>
      </c>
      <c r="K5" t="s">
        <v>94</v>
      </c>
      <c r="L5" t="s">
        <v>95</v>
      </c>
      <c r="M5" t="s">
        <v>96</v>
      </c>
      <c r="N5" t="s">
        <v>97</v>
      </c>
      <c r="O5" t="s">
        <v>98</v>
      </c>
      <c r="P5" t="s">
        <v>87</v>
      </c>
      <c r="Q5" t="s">
        <v>100</v>
      </c>
      <c r="R5" t="s">
        <v>101</v>
      </c>
      <c r="S5" t="s">
        <v>113</v>
      </c>
      <c r="T5" t="s">
        <v>114</v>
      </c>
      <c r="U5" t="s">
        <v>115</v>
      </c>
      <c r="V5" t="s">
        <v>105</v>
      </c>
      <c r="W5" t="s">
        <v>106</v>
      </c>
      <c r="X5" t="s">
        <v>107</v>
      </c>
      <c r="Y5" t="s">
        <v>108</v>
      </c>
      <c r="Z5" t="s">
        <v>109</v>
      </c>
      <c r="AA5" t="s">
        <v>130</v>
      </c>
      <c r="AB5" t="s">
        <v>125</v>
      </c>
      <c r="AC5" t="s">
        <v>111</v>
      </c>
      <c r="AD5" t="s">
        <v>126</v>
      </c>
      <c r="AE5" t="s">
        <v>102</v>
      </c>
      <c r="AF5" t="s">
        <v>103</v>
      </c>
      <c r="AG5" t="s">
        <v>104</v>
      </c>
      <c r="AH5" t="s">
        <v>116</v>
      </c>
      <c r="AI5" t="s">
        <v>117</v>
      </c>
      <c r="AJ5" t="s">
        <v>118</v>
      </c>
      <c r="AK5" t="s">
        <v>127</v>
      </c>
      <c r="AL5" t="s">
        <v>120</v>
      </c>
      <c r="AM5" t="s">
        <v>86</v>
      </c>
      <c r="AN5" t="s">
        <v>99</v>
      </c>
      <c r="AO5" t="s">
        <v>88</v>
      </c>
      <c r="AP5" t="s">
        <v>89</v>
      </c>
      <c r="AQ5" t="s">
        <v>90</v>
      </c>
      <c r="AR5" t="s">
        <v>91</v>
      </c>
      <c r="AS5" t="s">
        <v>92</v>
      </c>
      <c r="AT5" t="s">
        <v>93</v>
      </c>
      <c r="AU5" t="s">
        <v>94</v>
      </c>
      <c r="AV5" t="s">
        <v>95</v>
      </c>
      <c r="AW5" t="s">
        <v>96</v>
      </c>
      <c r="AX5" t="s">
        <v>97</v>
      </c>
      <c r="AY5" t="s">
        <v>98</v>
      </c>
      <c r="AZ5" t="s">
        <v>87</v>
      </c>
      <c r="BA5" t="s">
        <v>105</v>
      </c>
      <c r="BB5" t="s">
        <v>109</v>
      </c>
      <c r="BC5" t="s">
        <v>93</v>
      </c>
      <c r="BD5" t="s">
        <v>94</v>
      </c>
      <c r="BE5" t="s">
        <v>95</v>
      </c>
      <c r="BF5" t="s">
        <v>88</v>
      </c>
      <c r="BG5" t="s">
        <v>97</v>
      </c>
      <c r="BH5" t="s">
        <v>96</v>
      </c>
      <c r="BI5" t="s">
        <v>90</v>
      </c>
      <c r="BJ5" t="s">
        <v>91</v>
      </c>
      <c r="BK5" t="s">
        <v>93</v>
      </c>
      <c r="BL5" t="s">
        <v>94</v>
      </c>
      <c r="BM5" t="s">
        <v>95</v>
      </c>
      <c r="BN5" t="s">
        <v>88</v>
      </c>
      <c r="BO5" t="s">
        <v>93</v>
      </c>
      <c r="BP5" t="s">
        <v>95</v>
      </c>
      <c r="BQ5" t="s">
        <v>93</v>
      </c>
      <c r="BS5" t="s">
        <v>121</v>
      </c>
      <c r="BT5" t="s">
        <v>128</v>
      </c>
      <c r="BU5">
        <f>IF(C5='Resultats Reals'!$C$2,2,IF(OR(C5='Resultats Reals'!$C$3,COUNTIF('Resultats Reals'!$E$2:$E$33,C5)&gt;0),1,0))+IF(D5='Resultats Reals'!$C$5,2,IF(OR(D5='Resultats Reals'!$C$6,COUNTIF('Resultats Reals'!$E$2:$E$33,D5)&gt;0),1,0))+IF(E5='Resultats Reals'!$C$8,2,IF(OR(E5='Resultats Reals'!$C$9,COUNTIF('Resultats Reals'!$E$2:$E$33,E5)&gt;0),1,0))+IF(F5='Resultats Reals'!$C$11,2,IF(OR(F5='Resultats Reals'!$C$12,COUNTIF('Resultats Reals'!$E$2:$E$33,F5)&gt;0),1,0))+IF(G5='Resultats Reals'!$C$14,2,IF(OR(G5='Resultats Reals'!$C$15,COUNTIF('Resultats Reals'!$E$2:$E$33,G5)&gt;0),1,0))+IF(H5='Resultats Reals'!$C$17,2,IF(OR(H5='Resultats Reals'!$C$18,COUNTIF('Resultats Reals'!$E$2:$E$33,H5)&gt;0),1,0))+IF(I5='Resultats Reals'!$C$20,2,IF(OR(I5='Resultats Reals'!$C$21,COUNTIF('Resultats Reals'!$E$2:$E$33,I5)&gt;0),1,0))+IF(J5='Resultats Reals'!$C$23,2,IF(OR(J5='Resultats Reals'!$C$24,COUNTIF('Resultats Reals'!$E$2:$E$33,J5)&gt;0),1,0))+IF(K5='Resultats Reals'!$C$26,2,IF(OR(K5='Resultats Reals'!$C$27,COUNTIF('Resultats Reals'!$E$2:$E$33,K5)&gt;0),1,0))+IF(L5='Resultats Reals'!$C$29,2,IF(OR(L5='Resultats Reals'!$C$30,COUNTIF('Resultats Reals'!$E$2:$E$33,L5)&gt;0),1,0))+IF(M5='Resultats Reals'!$C$32,2,IF(OR(M5='Resultats Reals'!$C$33,COUNTIF('Resultats Reals'!$E$2:$E$33,M5)&gt;0),1,0))+IF(N5='Resultats Reals'!$C$35,2,IF(OR(N5='Resultats Reals'!$C$36,COUNTIF('Resultats Reals'!$E$2:$E$33,N5)&gt;0),1,0))</f>
        <v>22</v>
      </c>
      <c r="BV5">
        <f>IF(O5='Resultats Reals'!$C$3,2,IF(OR(O5='Resultats Reals'!$C$2,COUNTIF('Resultats Reals'!$E$2:$E$33,O5)&gt;0),1,0))+IF(P5='Resultats Reals'!$C$6,2,IF(OR(P5='Resultats Reals'!$C$5,COUNTIF('Resultats Reals'!$E$2:$E$33,P5)&gt;0),1,0))+IF(Q5='Resultats Reals'!$C$9,2,IF(OR(Q5='Resultats Reals'!$C$8,COUNTIF('Resultats Reals'!$E$2:$E$33,Q5)&gt;0),1,0))+IF(R5='Resultats Reals'!$C$12,2,IF(OR(R5='Resultats Reals'!$C$11,COUNTIF('Resultats Reals'!$E$2:$E$33,R5)&gt;0),1,0))+IF(S5='Resultats Reals'!$C$15,2,IF(OR(S5='Resultats Reals'!$C$14,COUNTIF('Resultats Reals'!$E$2:$E$33,S5)&gt;0),1,0))+IF(T5='Resultats Reals'!$C$18,2,IF(OR(T5='Resultats Reals'!$C$17,COUNTIF('Resultats Reals'!$E$2:$E$33,T5)&gt;0),1,0))+IF(U5='Resultats Reals'!$C$21,2,IF(OR(U5='Resultats Reals'!$C$20,COUNTIF('Resultats Reals'!$E$2:$E$33,U5)&gt;0),1,0))+IF(V5='Resultats Reals'!$C$24,2,IF(OR(V5='Resultats Reals'!$C$23,COUNTIF('Resultats Reals'!$E$2:$E$33,V5)&gt;0),1,0))+IF(W5='Resultats Reals'!$C$27,2,IF(OR(W5='Resultats Reals'!$C$26,COUNTIF('Resultats Reals'!$E$2:$E$33,W5)&gt;0),1,0))+IF(X5='Resultats Reals'!$C$30,2,IF(OR(X5='Resultats Reals'!$C$29,COUNTIF('Resultats Reals'!$E$2:$E$33,X5)&gt;0),1,0))+IF(Y5='Resultats Reals'!$C$33,2,IF(OR(Y5='Resultats Reals'!$C$32,COUNTIF('Resultats Reals'!$E$2:$E$33,Y5)&gt;0),1,0))+IF(Z5='Resultats Reals'!$C$36,2,IF(OR(Z5='Resultats Reals'!$C$35,COUNTIF('Resultats Reals'!$E$2:$E$33,Z5)&gt;0),1,0))</f>
        <v>13</v>
      </c>
      <c r="BW5">
        <f>IF(AA5='Resultats Reals'!$C$4,IF(COUNTIF('Resultats Reals'!$E$2:$E$33,AA5)&gt;0,2,0.5),IF(OR(AA5='Resultats Reals'!$C$2,AA5='Resultats Reals'!$C$3,COUNTIF('Resultats Reals'!$E$2:$E$33,AA5)&gt;0),1,0))+IF(AB5='Resultats Reals'!$C$7,IF(COUNTIF('Resultats Reals'!$E$2:$E$33,AB5)&gt;0,2,0.5),IF(OR(AB5='Resultats Reals'!$C$5,AB5='Resultats Reals'!$C$6,COUNTIF('Resultats Reals'!$E$2:$E$33,AB5)&gt;0),1,0))+IF(AC5='Resultats Reals'!$C$10,IF(COUNTIF('Resultats Reals'!$E$2:$E$33,AC5)&gt;0,2,0.5),IF(OR(AC5='Resultats Reals'!$C$8,AC5='Resultats Reals'!$C$9,COUNTIF('Resultats Reals'!$E$2:$E$33,AC5)&gt;0),1,0))+IF(AD5='Resultats Reals'!$C$13,IF(COUNTIF('Resultats Reals'!$E$2:$E$33,AD5)&gt;0,2,0.5),IF(OR(AD5='Resultats Reals'!$C$11,AD5='Resultats Reals'!$C$12,COUNTIF('Resultats Reals'!$E$2:$E$33,AD5)&gt;0),1,0))+IF(AE5='Resultats Reals'!$C$16,IF(COUNTIF('Resultats Reals'!$E$2:$E$33,AE5)&gt;0,2,0.5),IF(OR(AE5='Resultats Reals'!$C$14,AE5='Resultats Reals'!$C$15,COUNTIF('Resultats Reals'!$E$2:$E$33,AE5)&gt;0),1,0))+IF(AF5='Resultats Reals'!$C$19,IF(COUNTIF('Resultats Reals'!$E$2:$E$33,AF5)&gt;0,2,0.5),IF(OR(AF5='Resultats Reals'!$C$17,AF5='Resultats Reals'!$C$18,COUNTIF('Resultats Reals'!$E$2:$E$33,AF5)&gt;0),1,0))+IF(AG5='Resultats Reals'!$C$22,IF(COUNTIF('Resultats Reals'!$E$2:$E$33,AG5)&gt;0,2,0.5),IF(OR(AG5='Resultats Reals'!$C$20,AG5='Resultats Reals'!$C$21,COUNTIF('Resultats Reals'!$E$2:$E$33,AG5)&gt;0),1,0))+IF(AH5='Resultats Reals'!$C$25,IF(COUNTIF('Resultats Reals'!$E$2:$E$33,AH5)&gt;0,2,0.5),IF(OR(AH5='Resultats Reals'!$C$23,AH5='Resultats Reals'!$C$24,COUNTIF('Resultats Reals'!$E$2:$E$33,AH5)&gt;0),1,0))+IF(AI5='Resultats Reals'!$C$28,IF(COUNTIF('Resultats Reals'!$E$2:$E$33,AI5)&gt;0,2,0.5),IF(OR(AI5='Resultats Reals'!$C$26,AI5='Resultats Reals'!$C$27,COUNTIF('Resultats Reals'!$E$2:$E$33,AI5)&gt;0),1,0))+IF(AJ5='Resultats Reals'!$C$31,IF(COUNTIF('Resultats Reals'!$E$2:$E$33,AJ5)&gt;0,2,0.5),IF(OR(AJ5='Resultats Reals'!$C$29,AJ5='Resultats Reals'!$C$30,COUNTIF('Resultats Reals'!$E$2:$E$33,AJ5)&gt;0),1,0))+IF(AK5='Resultats Reals'!$C$34,IF(COUNTIF('Resultats Reals'!$E$2:$E$33,AK5)&gt;0,2,0.5),IF(OR(AK5='Resultats Reals'!$C$32,AK5='Resultats Reals'!$C$33,COUNTIF('Resultats Reals'!$E$2:$E$33,AK5)&gt;0),1,0))+IF(AL5='Resultats Reals'!$C$37,IF(COUNTIF('Resultats Reals'!$E$2:$E$33,AL5)&gt;0,2,0.5),IF(OR(AL5='Resultats Reals'!$C$35,AL5='Resultats Reals'!$C$36,COUNTIF('Resultats Reals'!$E$2:$E$33,AL5)&gt;0),1,0))</f>
        <v>14.5</v>
      </c>
      <c r="BX5">
        <f>IF(COUNTIF('Resultats Reals'!$F$2:$F$17,AM5)&gt;0,1,0)+IF(COUNTIF('Resultats Reals'!$F$2:$F$17,AN5)&gt;0,1,0)+IF(COUNTIF('Resultats Reals'!$F$2:$F$17,AO5)&gt;0,1,0)+IF(COUNTIF('Resultats Reals'!$F$2:$F$17,AP5)&gt;0,1,0)+IF(COUNTIF('Resultats Reals'!$F$2:$F$17,AQ5)&gt;0,1,0)+IF(COUNTIF('Resultats Reals'!$F$2:$F$17,AR5)&gt;0,1,0)+IF(COUNTIF('Resultats Reals'!$F$2:$F$17,AS5)&gt;0,1,0)+IF(COUNTIF('Resultats Reals'!$F$2:$F$17,AT5)&gt;0,1,0)+IF(COUNTIF('Resultats Reals'!$F$2:$F$17,AU5)&gt;0,1,0)+IF(COUNTIF('Resultats Reals'!$F$2:$F$17,AV5)&gt;0,1,0)+IF(COUNTIF('Resultats Reals'!$F$2:$F$17,AW5)&gt;0,1,0)+IF(COUNTIF('Resultats Reals'!$F$2:$F$17,AX5)&gt;0,1,0)+IF(COUNTIF('Resultats Reals'!$F$2:$F$17,AY5)&gt;0,1,0)+IF(COUNTIF('Resultats Reals'!$F$2:$F$17,AZ5)&gt;0,1,0)+IF(COUNTIF('Resultats Reals'!$F$2:$F$17,BA5)&gt;0,1,0)+IF(COUNTIF('Resultats Reals'!$F$2:$F$17,BB5)&gt;0,1,0)</f>
        <v>11</v>
      </c>
      <c r="BY5">
        <f>IF(COUNTIF('Resultats Reals'!$G$2:$G$9,BC5)&gt;0,1,0)+IF(COUNTIF('Resultats Reals'!$G$2:$G$9,BD5)&gt;0,1,0)+IF(COUNTIF('Resultats Reals'!$G$2:$G$9,BE5)&gt;0,1,0)+IF(COUNTIF('Resultats Reals'!$G$2:$G$9,BF5)&gt;0,1,0)+IF(COUNTIF('Resultats Reals'!$G$2:$G$9,BG5)&gt;0,1,0)+IF(COUNTIF('Resultats Reals'!$G$2:$G$9,BH5)&gt;0,1,0)+IF(COUNTIF('Resultats Reals'!$G$2:$G$9,BI5)&gt;0,1,0)+IF(COUNTIF('Resultats Reals'!$G$2:$G$9,BJ5)&gt;0,1,0)</f>
        <v>4</v>
      </c>
      <c r="BZ5">
        <f>IF(COUNTIF('Resultats Reals'!$H$2:$H$5,BK5)&gt;0,1,0)+IF(COUNTIF('Resultats Reals'!$H$2:$H$5,BL5)&gt;0,1,0)+IF(COUNTIF('Resultats Reals'!$H$2:$H$5,BM5)&gt;0,1,0)+IF(COUNTIF('Resultats Reals'!$H$2:$H$5,BN5)&gt;0,1,0)</f>
        <v>3</v>
      </c>
      <c r="CA5">
        <f>IF(COUNTIF('Resultats Reals'!$I$2:$I$3,BO5)&gt;0,3,0)+IF(COUNTIF('Resultats Reals'!$I$2:$I$3,BP5)&gt;0,3,0)</f>
        <v>0</v>
      </c>
      <c r="CB5">
        <f>IF(BQ5='Resultats Reals'!$J$2,5,0)</f>
        <v>0</v>
      </c>
      <c r="CC5">
        <f>IF(BS5='Resultats Reals'!$K$2,5,0)</f>
        <v>0</v>
      </c>
      <c r="CD5">
        <f>IFERROR(VLOOKUP(BT5,'Resultats Reals'!$N$2:$O$100,2,FALSE),0)</f>
        <v>8</v>
      </c>
      <c r="CE5">
        <f>IF(BR5='Resultats Reals'!$L$2,5,0)</f>
        <v>0</v>
      </c>
      <c r="CF5" s="7">
        <f t="shared" si="0"/>
        <v>75.5</v>
      </c>
    </row>
    <row r="6" spans="1:84" x14ac:dyDescent="0.25">
      <c r="A6" t="s">
        <v>149</v>
      </c>
      <c r="B6" t="s">
        <v>135</v>
      </c>
      <c r="C6" t="s">
        <v>86</v>
      </c>
      <c r="D6" t="s">
        <v>99</v>
      </c>
      <c r="E6" t="s">
        <v>88</v>
      </c>
      <c r="F6" t="s">
        <v>101</v>
      </c>
      <c r="G6" t="s">
        <v>90</v>
      </c>
      <c r="H6" t="s">
        <v>91</v>
      </c>
      <c r="I6" t="s">
        <v>92</v>
      </c>
      <c r="J6" t="s">
        <v>93</v>
      </c>
      <c r="K6" t="s">
        <v>94</v>
      </c>
      <c r="L6" t="s">
        <v>95</v>
      </c>
      <c r="M6" t="s">
        <v>96</v>
      </c>
      <c r="N6" t="s">
        <v>97</v>
      </c>
      <c r="O6" t="s">
        <v>110</v>
      </c>
      <c r="P6" t="s">
        <v>245</v>
      </c>
      <c r="Q6" t="s">
        <v>100</v>
      </c>
      <c r="R6" t="s">
        <v>89</v>
      </c>
      <c r="S6" t="s">
        <v>113</v>
      </c>
      <c r="T6" t="s">
        <v>114</v>
      </c>
      <c r="U6" t="s">
        <v>104</v>
      </c>
      <c r="V6" t="s">
        <v>105</v>
      </c>
      <c r="W6" t="s">
        <v>117</v>
      </c>
      <c r="X6" t="s">
        <v>107</v>
      </c>
      <c r="Y6" t="s">
        <v>108</v>
      </c>
      <c r="Z6" t="s">
        <v>109</v>
      </c>
      <c r="AA6" t="s">
        <v>98</v>
      </c>
      <c r="AB6" t="s">
        <v>87</v>
      </c>
      <c r="AC6" t="s">
        <v>111</v>
      </c>
      <c r="AD6" t="s">
        <v>112</v>
      </c>
      <c r="AE6" t="s">
        <v>102</v>
      </c>
      <c r="AF6" t="s">
        <v>103</v>
      </c>
      <c r="AG6" t="s">
        <v>115</v>
      </c>
      <c r="AH6" t="s">
        <v>116</v>
      </c>
      <c r="AI6" t="s">
        <v>106</v>
      </c>
      <c r="AJ6" t="s">
        <v>118</v>
      </c>
      <c r="AK6" t="s">
        <v>127</v>
      </c>
      <c r="AL6" t="s">
        <v>120</v>
      </c>
      <c r="AM6" t="s">
        <v>90</v>
      </c>
      <c r="AN6" t="s">
        <v>94</v>
      </c>
      <c r="AO6" t="s">
        <v>110</v>
      </c>
      <c r="AP6" t="s">
        <v>91</v>
      </c>
      <c r="AQ6" t="s">
        <v>109</v>
      </c>
      <c r="AR6" t="s">
        <v>93</v>
      </c>
      <c r="AS6" t="s">
        <v>87</v>
      </c>
      <c r="AT6" t="s">
        <v>106</v>
      </c>
      <c r="AU6" t="s">
        <v>88</v>
      </c>
      <c r="AV6" t="s">
        <v>117</v>
      </c>
      <c r="AW6" t="s">
        <v>102</v>
      </c>
      <c r="AX6" t="s">
        <v>97</v>
      </c>
      <c r="AY6" t="s">
        <v>95</v>
      </c>
      <c r="AZ6" t="s">
        <v>104</v>
      </c>
      <c r="BA6" t="s">
        <v>99</v>
      </c>
      <c r="BB6" t="s">
        <v>96</v>
      </c>
      <c r="BC6" t="s">
        <v>94</v>
      </c>
      <c r="BD6" t="s">
        <v>91</v>
      </c>
      <c r="BE6" t="s">
        <v>93</v>
      </c>
      <c r="BF6" t="s">
        <v>106</v>
      </c>
      <c r="BG6" t="s">
        <v>88</v>
      </c>
      <c r="BH6" t="s">
        <v>97</v>
      </c>
      <c r="BI6" t="s">
        <v>95</v>
      </c>
      <c r="BJ6" t="s">
        <v>96</v>
      </c>
      <c r="BK6" t="s">
        <v>94</v>
      </c>
      <c r="BL6" t="s">
        <v>93</v>
      </c>
      <c r="BM6" t="s">
        <v>88</v>
      </c>
      <c r="BN6" t="s">
        <v>95</v>
      </c>
      <c r="BO6" t="s">
        <v>93</v>
      </c>
      <c r="BP6" t="s">
        <v>95</v>
      </c>
      <c r="BQ6" t="s">
        <v>93</v>
      </c>
      <c r="BS6" t="s">
        <v>150</v>
      </c>
      <c r="BT6" t="s">
        <v>128</v>
      </c>
      <c r="BU6">
        <f>IF(C6='Resultats Reals'!$C$2,2,IF(OR(C6='Resultats Reals'!$C$3,COUNTIF('Resultats Reals'!$E$2:$E$33,C6)&gt;0),1,0))+IF(D6='Resultats Reals'!$C$5,2,IF(OR(D6='Resultats Reals'!$C$6,COUNTIF('Resultats Reals'!$E$2:$E$33,D6)&gt;0),1,0))+IF(E6='Resultats Reals'!$C$8,2,IF(OR(E6='Resultats Reals'!$C$9,COUNTIF('Resultats Reals'!$E$2:$E$33,E6)&gt;0),1,0))+IF(F6='Resultats Reals'!$C$11,2,IF(OR(F6='Resultats Reals'!$C$12,COUNTIF('Resultats Reals'!$E$2:$E$33,F6)&gt;0),1,0))+IF(G6='Resultats Reals'!$C$14,2,IF(OR(G6='Resultats Reals'!$C$15,COUNTIF('Resultats Reals'!$E$2:$E$33,G6)&gt;0),1,0))+IF(H6='Resultats Reals'!$C$17,2,IF(OR(H6='Resultats Reals'!$C$18,COUNTIF('Resultats Reals'!$E$2:$E$33,H6)&gt;0),1,0))+IF(I6='Resultats Reals'!$C$20,2,IF(OR(I6='Resultats Reals'!$C$21,COUNTIF('Resultats Reals'!$E$2:$E$33,I6)&gt;0),1,0))+IF(J6='Resultats Reals'!$C$23,2,IF(OR(J6='Resultats Reals'!$C$24,COUNTIF('Resultats Reals'!$E$2:$E$33,J6)&gt;0),1,0))+IF(K6='Resultats Reals'!$C$26,2,IF(OR(K6='Resultats Reals'!$C$27,COUNTIF('Resultats Reals'!$E$2:$E$33,K6)&gt;0),1,0))+IF(L6='Resultats Reals'!$C$29,2,IF(OR(L6='Resultats Reals'!$C$30,COUNTIF('Resultats Reals'!$E$2:$E$33,L6)&gt;0),1,0))+IF(M6='Resultats Reals'!$C$32,2,IF(OR(M6='Resultats Reals'!$C$33,COUNTIF('Resultats Reals'!$E$2:$E$33,M6)&gt;0),1,0))+IF(N6='Resultats Reals'!$C$35,2,IF(OR(N6='Resultats Reals'!$C$36,COUNTIF('Resultats Reals'!$E$2:$E$33,N6)&gt;0),1,0))</f>
        <v>20</v>
      </c>
      <c r="BV6">
        <f>IF(O6='Resultats Reals'!$C$3,2,IF(OR(O6='Resultats Reals'!$C$2,COUNTIF('Resultats Reals'!$E$2:$E$33,O6)&gt;0),1,0))+IF(P6='Resultats Reals'!$C$6,2,IF(OR(P6='Resultats Reals'!$C$5,COUNTIF('Resultats Reals'!$E$2:$E$33,P6)&gt;0),1,0))+IF(Q6='Resultats Reals'!$C$9,2,IF(OR(Q6='Resultats Reals'!$C$8,COUNTIF('Resultats Reals'!$E$2:$E$33,Q6)&gt;0),1,0))+IF(R6='Resultats Reals'!$C$12,2,IF(OR(R6='Resultats Reals'!$C$11,COUNTIF('Resultats Reals'!$E$2:$E$33,R6)&gt;0),1,0))+IF(S6='Resultats Reals'!$C$15,2,IF(OR(S6='Resultats Reals'!$C$14,COUNTIF('Resultats Reals'!$E$2:$E$33,S6)&gt;0),1,0))+IF(T6='Resultats Reals'!$C$18,2,IF(OR(T6='Resultats Reals'!$C$17,COUNTIF('Resultats Reals'!$E$2:$E$33,T6)&gt;0),1,0))+IF(U6='Resultats Reals'!$C$21,2,IF(OR(U6='Resultats Reals'!$C$20,COUNTIF('Resultats Reals'!$E$2:$E$33,U6)&gt;0),1,0))+IF(V6='Resultats Reals'!$C$24,2,IF(OR(V6='Resultats Reals'!$C$23,COUNTIF('Resultats Reals'!$E$2:$E$33,V6)&gt;0),1,0))+IF(W6='Resultats Reals'!$C$27,2,IF(OR(W6='Resultats Reals'!$C$26,COUNTIF('Resultats Reals'!$E$2:$E$33,W6)&gt;0),1,0))+IF(X6='Resultats Reals'!$C$30,2,IF(OR(X6='Resultats Reals'!$C$29,COUNTIF('Resultats Reals'!$E$2:$E$33,X6)&gt;0),1,0))+IF(Y6='Resultats Reals'!$C$33,2,IF(OR(Y6='Resultats Reals'!$C$32,COUNTIF('Resultats Reals'!$E$2:$E$33,Y6)&gt;0),1,0))+IF(Z6='Resultats Reals'!$C$36,2,IF(OR(Z6='Resultats Reals'!$C$35,COUNTIF('Resultats Reals'!$E$2:$E$33,Z6)&gt;0),1,0))</f>
        <v>17</v>
      </c>
      <c r="BW6">
        <f>IF(AA6='Resultats Reals'!$C$4,IF(COUNTIF('Resultats Reals'!$E$2:$E$33,AA6)&gt;0,2,0.5),IF(OR(AA6='Resultats Reals'!$C$2,AA6='Resultats Reals'!$C$3,COUNTIF('Resultats Reals'!$E$2:$E$33,AA6)&gt;0),1,0))+IF(AB6='Resultats Reals'!$C$7,IF(COUNTIF('Resultats Reals'!$E$2:$E$33,AB6)&gt;0,2,0.5),IF(OR(AB6='Resultats Reals'!$C$5,AB6='Resultats Reals'!$C$6,COUNTIF('Resultats Reals'!$E$2:$E$33,AB6)&gt;0),1,0))+IF(AC6='Resultats Reals'!$C$10,IF(COUNTIF('Resultats Reals'!$E$2:$E$33,AC6)&gt;0,2,0.5),IF(OR(AC6='Resultats Reals'!$C$8,AC6='Resultats Reals'!$C$9,COUNTIF('Resultats Reals'!$E$2:$E$33,AC6)&gt;0),1,0))+IF(AD6='Resultats Reals'!$C$13,IF(COUNTIF('Resultats Reals'!$E$2:$E$33,AD6)&gt;0,2,0.5),IF(OR(AD6='Resultats Reals'!$C$11,AD6='Resultats Reals'!$C$12,COUNTIF('Resultats Reals'!$E$2:$E$33,AD6)&gt;0),1,0))+IF(AE6='Resultats Reals'!$C$16,IF(COUNTIF('Resultats Reals'!$E$2:$E$33,AE6)&gt;0,2,0.5),IF(OR(AE6='Resultats Reals'!$C$14,AE6='Resultats Reals'!$C$15,COUNTIF('Resultats Reals'!$E$2:$E$33,AE6)&gt;0),1,0))+IF(AF6='Resultats Reals'!$C$19,IF(COUNTIF('Resultats Reals'!$E$2:$E$33,AF6)&gt;0,2,0.5),IF(OR(AF6='Resultats Reals'!$C$17,AF6='Resultats Reals'!$C$18,COUNTIF('Resultats Reals'!$E$2:$E$33,AF6)&gt;0),1,0))+IF(AG6='Resultats Reals'!$C$22,IF(COUNTIF('Resultats Reals'!$E$2:$E$33,AG6)&gt;0,2,0.5),IF(OR(AG6='Resultats Reals'!$C$20,AG6='Resultats Reals'!$C$21,COUNTIF('Resultats Reals'!$E$2:$E$33,AG6)&gt;0),1,0))+IF(AH6='Resultats Reals'!$C$25,IF(COUNTIF('Resultats Reals'!$E$2:$E$33,AH6)&gt;0,2,0.5),IF(OR(AH6='Resultats Reals'!$C$23,AH6='Resultats Reals'!$C$24,COUNTIF('Resultats Reals'!$E$2:$E$33,AH6)&gt;0),1,0))+IF(AI6='Resultats Reals'!$C$28,IF(COUNTIF('Resultats Reals'!$E$2:$E$33,AI6)&gt;0,2,0.5),IF(OR(AI6='Resultats Reals'!$C$26,AI6='Resultats Reals'!$C$27,COUNTIF('Resultats Reals'!$E$2:$E$33,AI6)&gt;0),1,0))+IF(AJ6='Resultats Reals'!$C$31,IF(COUNTIF('Resultats Reals'!$E$2:$E$33,AJ6)&gt;0,2,0.5),IF(OR(AJ6='Resultats Reals'!$C$29,AJ6='Resultats Reals'!$C$30,COUNTIF('Resultats Reals'!$E$2:$E$33,AJ6)&gt;0),1,0))+IF(AK6='Resultats Reals'!$C$34,IF(COUNTIF('Resultats Reals'!$E$2:$E$33,AK6)&gt;0,2,0.5),IF(OR(AK6='Resultats Reals'!$C$32,AK6='Resultats Reals'!$C$33,COUNTIF('Resultats Reals'!$E$2:$E$33,AK6)&gt;0),1,0))+IF(AL6='Resultats Reals'!$C$37,IF(COUNTIF('Resultats Reals'!$E$2:$E$33,AL6)&gt;0,2,0.5),IF(OR(AL6='Resultats Reals'!$C$35,AL6='Resultats Reals'!$C$36,COUNTIF('Resultats Reals'!$E$2:$E$33,AL6)&gt;0),1,0))</f>
        <v>16.5</v>
      </c>
      <c r="BX6">
        <f>IF(COUNTIF('Resultats Reals'!$F$2:$F$17,AM6)&gt;0,1,0)+IF(COUNTIF('Resultats Reals'!$F$2:$F$17,AN6)&gt;0,1,0)+IF(COUNTIF('Resultats Reals'!$F$2:$F$17,AO6)&gt;0,1,0)+IF(COUNTIF('Resultats Reals'!$F$2:$F$17,AP6)&gt;0,1,0)+IF(COUNTIF('Resultats Reals'!$F$2:$F$17,AQ6)&gt;0,1,0)+IF(COUNTIF('Resultats Reals'!$F$2:$F$17,AR6)&gt;0,1,0)+IF(COUNTIF('Resultats Reals'!$F$2:$F$17,AS6)&gt;0,1,0)+IF(COUNTIF('Resultats Reals'!$F$2:$F$17,AT6)&gt;0,1,0)+IF(COUNTIF('Resultats Reals'!$F$2:$F$17,AU6)&gt;0,1,0)+IF(COUNTIF('Resultats Reals'!$F$2:$F$17,AV6)&gt;0,1,0)+IF(COUNTIF('Resultats Reals'!$F$2:$F$17,AW6)&gt;0,1,0)+IF(COUNTIF('Resultats Reals'!$F$2:$F$17,AX6)&gt;0,1,0)+IF(COUNTIF('Resultats Reals'!$F$2:$F$17,AY6)&gt;0,1,0)+IF(COUNTIF('Resultats Reals'!$F$2:$F$17,AZ6)&gt;0,1,0)+IF(COUNTIF('Resultats Reals'!$F$2:$F$17,BA6)&gt;0,1,0)+IF(COUNTIF('Resultats Reals'!$F$2:$F$17,BB6)&gt;0,1,0)</f>
        <v>10</v>
      </c>
      <c r="BY6">
        <f>IF(COUNTIF('Resultats Reals'!$G$2:$G$9,BC6)&gt;0,1,0)+IF(COUNTIF('Resultats Reals'!$G$2:$G$9,BD6)&gt;0,1,0)+IF(COUNTIF('Resultats Reals'!$G$2:$G$9,BE6)&gt;0,1,0)+IF(COUNTIF('Resultats Reals'!$G$2:$G$9,BF6)&gt;0,1,0)+IF(COUNTIF('Resultats Reals'!$G$2:$G$9,BG6)&gt;0,1,0)+IF(COUNTIF('Resultats Reals'!$G$2:$G$9,BH6)&gt;0,1,0)+IF(COUNTIF('Resultats Reals'!$G$2:$G$9,BI6)&gt;0,1,0)+IF(COUNTIF('Resultats Reals'!$G$2:$G$9,BJ6)&gt;0,1,0)</f>
        <v>4</v>
      </c>
      <c r="BZ6">
        <f>IF(COUNTIF('Resultats Reals'!$H$2:$H$5,BK6)&gt;0,1,0)+IF(COUNTIF('Resultats Reals'!$H$2:$H$5,BL6)&gt;0,1,0)+IF(COUNTIF('Resultats Reals'!$H$2:$H$5,BM6)&gt;0,1,0)+IF(COUNTIF('Resultats Reals'!$H$2:$H$5,BN6)&gt;0,1,0)</f>
        <v>3</v>
      </c>
      <c r="CA6">
        <f>IF(COUNTIF('Resultats Reals'!$I$2:$I$3,BO6)&gt;0,3,0)+IF(COUNTIF('Resultats Reals'!$I$2:$I$3,BP6)&gt;0,3,0)</f>
        <v>0</v>
      </c>
      <c r="CB6">
        <f>IF(BQ6='Resultats Reals'!$J$2,5,0)</f>
        <v>0</v>
      </c>
      <c r="CC6">
        <f>IF(BS6='Resultats Reals'!$K$2,5,0)</f>
        <v>0</v>
      </c>
      <c r="CD6">
        <f>IFERROR(VLOOKUP(BT6,'Resultats Reals'!$N$2:$O$100,2,FALSE),0)</f>
        <v>8</v>
      </c>
      <c r="CE6">
        <f>IF(BR6='Resultats Reals'!$L$2,5,0)</f>
        <v>0</v>
      </c>
      <c r="CF6" s="7">
        <f t="shared" si="0"/>
        <v>78.5</v>
      </c>
    </row>
    <row r="7" spans="1:84" ht="15.75" customHeight="1" x14ac:dyDescent="0.25">
      <c r="A7" t="s">
        <v>137</v>
      </c>
      <c r="B7" t="s">
        <v>135</v>
      </c>
      <c r="C7" t="s">
        <v>86</v>
      </c>
      <c r="D7" t="s">
        <v>87</v>
      </c>
      <c r="E7" t="s">
        <v>100</v>
      </c>
      <c r="F7" t="s">
        <v>89</v>
      </c>
      <c r="G7" t="s">
        <v>90</v>
      </c>
      <c r="H7" t="s">
        <v>91</v>
      </c>
      <c r="I7" t="s">
        <v>92</v>
      </c>
      <c r="J7" t="s">
        <v>93</v>
      </c>
      <c r="K7" t="s">
        <v>94</v>
      </c>
      <c r="L7" t="s">
        <v>95</v>
      </c>
      <c r="M7" t="s">
        <v>108</v>
      </c>
      <c r="N7" t="s">
        <v>97</v>
      </c>
      <c r="O7" t="s">
        <v>98</v>
      </c>
      <c r="P7" t="s">
        <v>99</v>
      </c>
      <c r="Q7" t="s">
        <v>88</v>
      </c>
      <c r="R7" t="s">
        <v>101</v>
      </c>
      <c r="S7" t="s">
        <v>102</v>
      </c>
      <c r="T7" t="s">
        <v>114</v>
      </c>
      <c r="U7" t="s">
        <v>104</v>
      </c>
      <c r="V7" t="s">
        <v>105</v>
      </c>
      <c r="W7" t="s">
        <v>117</v>
      </c>
      <c r="X7" t="s">
        <v>107</v>
      </c>
      <c r="Y7" t="s">
        <v>96</v>
      </c>
      <c r="Z7" t="s">
        <v>109</v>
      </c>
      <c r="AA7" t="s">
        <v>110</v>
      </c>
      <c r="AB7" t="s">
        <v>125</v>
      </c>
      <c r="AC7" t="s">
        <v>111</v>
      </c>
      <c r="AD7" t="s">
        <v>112</v>
      </c>
      <c r="AE7" t="s">
        <v>113</v>
      </c>
      <c r="AF7" t="s">
        <v>103</v>
      </c>
      <c r="AG7" t="s">
        <v>138</v>
      </c>
      <c r="AH7" t="s">
        <v>116</v>
      </c>
      <c r="AI7" t="s">
        <v>106</v>
      </c>
      <c r="AJ7" t="s">
        <v>118</v>
      </c>
      <c r="AK7" t="s">
        <v>119</v>
      </c>
      <c r="AL7" t="s">
        <v>120</v>
      </c>
      <c r="AM7" t="s">
        <v>86</v>
      </c>
      <c r="AN7" t="s">
        <v>87</v>
      </c>
      <c r="AO7" t="s">
        <v>100</v>
      </c>
      <c r="AP7" t="s">
        <v>89</v>
      </c>
      <c r="AQ7" t="s">
        <v>90</v>
      </c>
      <c r="AR7" t="s">
        <v>91</v>
      </c>
      <c r="AS7" t="s">
        <v>92</v>
      </c>
      <c r="AT7" t="s">
        <v>93</v>
      </c>
      <c r="AU7" t="s">
        <v>94</v>
      </c>
      <c r="AV7" t="s">
        <v>96</v>
      </c>
      <c r="AW7" t="s">
        <v>108</v>
      </c>
      <c r="AX7" t="s">
        <v>97</v>
      </c>
      <c r="AY7" t="s">
        <v>98</v>
      </c>
      <c r="AZ7" t="s">
        <v>88</v>
      </c>
      <c r="BA7" t="s">
        <v>114</v>
      </c>
      <c r="BB7" t="s">
        <v>105</v>
      </c>
      <c r="BC7" t="s">
        <v>86</v>
      </c>
      <c r="BD7" t="s">
        <v>100</v>
      </c>
      <c r="BE7" t="s">
        <v>90</v>
      </c>
      <c r="BF7" t="s">
        <v>93</v>
      </c>
      <c r="BG7" t="s">
        <v>94</v>
      </c>
      <c r="BH7" t="s">
        <v>97</v>
      </c>
      <c r="BI7" t="s">
        <v>88</v>
      </c>
      <c r="BJ7" t="s">
        <v>105</v>
      </c>
      <c r="BK7" t="s">
        <v>100</v>
      </c>
      <c r="BL7" t="s">
        <v>93</v>
      </c>
      <c r="BM7" t="s">
        <v>94</v>
      </c>
      <c r="BN7" t="s">
        <v>88</v>
      </c>
      <c r="BO7" t="s">
        <v>93</v>
      </c>
      <c r="BP7" t="s">
        <v>94</v>
      </c>
      <c r="BQ7" t="s">
        <v>93</v>
      </c>
      <c r="BS7" t="s">
        <v>121</v>
      </c>
      <c r="BT7" t="s">
        <v>128</v>
      </c>
      <c r="BU7">
        <f>IF(C7='Resultats Reals'!$C$2,2,IF(OR(C7='Resultats Reals'!$C$3,COUNTIF('Resultats Reals'!$E$2:$E$33,C7)&gt;0),1,0))+IF(D7='Resultats Reals'!$C$5,2,IF(OR(D7='Resultats Reals'!$C$6,COUNTIF('Resultats Reals'!$E$2:$E$33,D7)&gt;0),1,0))+IF(E7='Resultats Reals'!$C$8,2,IF(OR(E7='Resultats Reals'!$C$9,COUNTIF('Resultats Reals'!$E$2:$E$33,E7)&gt;0),1,0))+IF(F7='Resultats Reals'!$C$11,2,IF(OR(F7='Resultats Reals'!$C$12,COUNTIF('Resultats Reals'!$E$2:$E$33,F7)&gt;0),1,0))+IF(G7='Resultats Reals'!$C$14,2,IF(OR(G7='Resultats Reals'!$C$15,COUNTIF('Resultats Reals'!$E$2:$E$33,G7)&gt;0),1,0))+IF(H7='Resultats Reals'!$C$17,2,IF(OR(H7='Resultats Reals'!$C$18,COUNTIF('Resultats Reals'!$E$2:$E$33,H7)&gt;0),1,0))+IF(I7='Resultats Reals'!$C$20,2,IF(OR(I7='Resultats Reals'!$C$21,COUNTIF('Resultats Reals'!$E$2:$E$33,I7)&gt;0),1,0))+IF(J7='Resultats Reals'!$C$23,2,IF(OR(J7='Resultats Reals'!$C$24,COUNTIF('Resultats Reals'!$E$2:$E$33,J7)&gt;0),1,0))+IF(K7='Resultats Reals'!$C$26,2,IF(OR(K7='Resultats Reals'!$C$27,COUNTIF('Resultats Reals'!$E$2:$E$33,K7)&gt;0),1,0))+IF(L7='Resultats Reals'!$C$29,2,IF(OR(L7='Resultats Reals'!$C$30,COUNTIF('Resultats Reals'!$E$2:$E$33,L7)&gt;0),1,0))+IF(M7='Resultats Reals'!$C$32,2,IF(OR(M7='Resultats Reals'!$C$33,COUNTIF('Resultats Reals'!$E$2:$E$33,M7)&gt;0),1,0))+IF(N7='Resultats Reals'!$C$35,2,IF(OR(N7='Resultats Reals'!$C$36,COUNTIF('Resultats Reals'!$E$2:$E$33,N7)&gt;0),1,0))</f>
        <v>23</v>
      </c>
      <c r="BV7">
        <f>IF(O7='Resultats Reals'!$C$3,2,IF(OR(O7='Resultats Reals'!$C$2,COUNTIF('Resultats Reals'!$E$2:$E$33,O7)&gt;0),1,0))+IF(P7='Resultats Reals'!$C$6,2,IF(OR(P7='Resultats Reals'!$C$5,COUNTIF('Resultats Reals'!$E$2:$E$33,P7)&gt;0),1,0))+IF(Q7='Resultats Reals'!$C$9,2,IF(OR(Q7='Resultats Reals'!$C$8,COUNTIF('Resultats Reals'!$E$2:$E$33,Q7)&gt;0),1,0))+IF(R7='Resultats Reals'!$C$12,2,IF(OR(R7='Resultats Reals'!$C$11,COUNTIF('Resultats Reals'!$E$2:$E$33,R7)&gt;0),1,0))+IF(S7='Resultats Reals'!$C$15,2,IF(OR(S7='Resultats Reals'!$C$14,COUNTIF('Resultats Reals'!$E$2:$E$33,S7)&gt;0),1,0))+IF(T7='Resultats Reals'!$C$18,2,IF(OR(T7='Resultats Reals'!$C$17,COUNTIF('Resultats Reals'!$E$2:$E$33,T7)&gt;0),1,0))+IF(U7='Resultats Reals'!$C$21,2,IF(OR(U7='Resultats Reals'!$C$20,COUNTIF('Resultats Reals'!$E$2:$E$33,U7)&gt;0),1,0))+IF(V7='Resultats Reals'!$C$24,2,IF(OR(V7='Resultats Reals'!$C$23,COUNTIF('Resultats Reals'!$E$2:$E$33,V7)&gt;0),1,0))+IF(W7='Resultats Reals'!$C$27,2,IF(OR(W7='Resultats Reals'!$C$26,COUNTIF('Resultats Reals'!$E$2:$E$33,W7)&gt;0),1,0))+IF(X7='Resultats Reals'!$C$30,2,IF(OR(X7='Resultats Reals'!$C$29,COUNTIF('Resultats Reals'!$E$2:$E$33,X7)&gt;0),1,0))+IF(Y7='Resultats Reals'!$C$33,2,IF(OR(Y7='Resultats Reals'!$C$32,COUNTIF('Resultats Reals'!$E$2:$E$33,Y7)&gt;0),1,0))+IF(Z7='Resultats Reals'!$C$36,2,IF(OR(Z7='Resultats Reals'!$C$35,COUNTIF('Resultats Reals'!$E$2:$E$33,Z7)&gt;0),1,0))</f>
        <v>16</v>
      </c>
      <c r="BW7">
        <f>IF(AA7='Resultats Reals'!$C$4,IF(COUNTIF('Resultats Reals'!$E$2:$E$33,AA7)&gt;0,2,0.5),IF(OR(AA7='Resultats Reals'!$C$2,AA7='Resultats Reals'!$C$3,COUNTIF('Resultats Reals'!$E$2:$E$33,AA7)&gt;0),1,0))+IF(AB7='Resultats Reals'!$C$7,IF(COUNTIF('Resultats Reals'!$E$2:$E$33,AB7)&gt;0,2,0.5),IF(OR(AB7='Resultats Reals'!$C$5,AB7='Resultats Reals'!$C$6,COUNTIF('Resultats Reals'!$E$2:$E$33,AB7)&gt;0),1,0))+IF(AC7='Resultats Reals'!$C$10,IF(COUNTIF('Resultats Reals'!$E$2:$E$33,AC7)&gt;0,2,0.5),IF(OR(AC7='Resultats Reals'!$C$8,AC7='Resultats Reals'!$C$9,COUNTIF('Resultats Reals'!$E$2:$E$33,AC7)&gt;0),1,0))+IF(AD7='Resultats Reals'!$C$13,IF(COUNTIF('Resultats Reals'!$E$2:$E$33,AD7)&gt;0,2,0.5),IF(OR(AD7='Resultats Reals'!$C$11,AD7='Resultats Reals'!$C$12,COUNTIF('Resultats Reals'!$E$2:$E$33,AD7)&gt;0),1,0))+IF(AE7='Resultats Reals'!$C$16,IF(COUNTIF('Resultats Reals'!$E$2:$E$33,AE7)&gt;0,2,0.5),IF(OR(AE7='Resultats Reals'!$C$14,AE7='Resultats Reals'!$C$15,COUNTIF('Resultats Reals'!$E$2:$E$33,AE7)&gt;0),1,0))+IF(AF7='Resultats Reals'!$C$19,IF(COUNTIF('Resultats Reals'!$E$2:$E$33,AF7)&gt;0,2,0.5),IF(OR(AF7='Resultats Reals'!$C$17,AF7='Resultats Reals'!$C$18,COUNTIF('Resultats Reals'!$E$2:$E$33,AF7)&gt;0),1,0))+IF(AG7='Resultats Reals'!$C$22,IF(COUNTIF('Resultats Reals'!$E$2:$E$33,AG7)&gt;0,2,0.5),IF(OR(AG7='Resultats Reals'!$C$20,AG7='Resultats Reals'!$C$21,COUNTIF('Resultats Reals'!$E$2:$E$33,AG7)&gt;0),1,0))+IF(AH7='Resultats Reals'!$C$25,IF(COUNTIF('Resultats Reals'!$E$2:$E$33,AH7)&gt;0,2,0.5),IF(OR(AH7='Resultats Reals'!$C$23,AH7='Resultats Reals'!$C$24,COUNTIF('Resultats Reals'!$E$2:$E$33,AH7)&gt;0),1,0))+IF(AI7='Resultats Reals'!$C$28,IF(COUNTIF('Resultats Reals'!$E$2:$E$33,AI7)&gt;0,2,0.5),IF(OR(AI7='Resultats Reals'!$C$26,AI7='Resultats Reals'!$C$27,COUNTIF('Resultats Reals'!$E$2:$E$33,AI7)&gt;0),1,0))+IF(AJ7='Resultats Reals'!$C$31,IF(COUNTIF('Resultats Reals'!$E$2:$E$33,AJ7)&gt;0,2,0.5),IF(OR(AJ7='Resultats Reals'!$C$29,AJ7='Resultats Reals'!$C$30,COUNTIF('Resultats Reals'!$E$2:$E$33,AJ7)&gt;0),1,0))+IF(AK7='Resultats Reals'!$C$34,IF(COUNTIF('Resultats Reals'!$E$2:$E$33,AK7)&gt;0,2,0.5),IF(OR(AK7='Resultats Reals'!$C$32,AK7='Resultats Reals'!$C$33,COUNTIF('Resultats Reals'!$E$2:$E$33,AK7)&gt;0),1,0))+IF(AL7='Resultats Reals'!$C$37,IF(COUNTIF('Resultats Reals'!$E$2:$E$33,AL7)&gt;0,2,0.5),IF(OR(AL7='Resultats Reals'!$C$35,AL7='Resultats Reals'!$C$36,COUNTIF('Resultats Reals'!$E$2:$E$33,AL7)&gt;0),1,0))</f>
        <v>11.5</v>
      </c>
      <c r="BX7">
        <f>IF(COUNTIF('Resultats Reals'!$F$2:$F$17,AM7)&gt;0,1,0)+IF(COUNTIF('Resultats Reals'!$F$2:$F$17,AN7)&gt;0,1,0)+IF(COUNTIF('Resultats Reals'!$F$2:$F$17,AO7)&gt;0,1,0)+IF(COUNTIF('Resultats Reals'!$F$2:$F$17,AP7)&gt;0,1,0)+IF(COUNTIF('Resultats Reals'!$F$2:$F$17,AQ7)&gt;0,1,0)+IF(COUNTIF('Resultats Reals'!$F$2:$F$17,AR7)&gt;0,1,0)+IF(COUNTIF('Resultats Reals'!$F$2:$F$17,AS7)&gt;0,1,0)+IF(COUNTIF('Resultats Reals'!$F$2:$F$17,AT7)&gt;0,1,0)+IF(COUNTIF('Resultats Reals'!$F$2:$F$17,AU7)&gt;0,1,0)+IF(COUNTIF('Resultats Reals'!$F$2:$F$17,AV7)&gt;0,1,0)+IF(COUNTIF('Resultats Reals'!$F$2:$F$17,AW7)&gt;0,1,0)+IF(COUNTIF('Resultats Reals'!$F$2:$F$17,AX7)&gt;0,1,0)+IF(COUNTIF('Resultats Reals'!$F$2:$F$17,AY7)&gt;0,1,0)+IF(COUNTIF('Resultats Reals'!$F$2:$F$17,AZ7)&gt;0,1,0)+IF(COUNTIF('Resultats Reals'!$F$2:$F$17,BA7)&gt;0,1,0)+IF(COUNTIF('Resultats Reals'!$F$2:$F$17,BB7)&gt;0,1,0)</f>
        <v>11</v>
      </c>
      <c r="BY7">
        <f>IF(COUNTIF('Resultats Reals'!$G$2:$G$9,BC7)&gt;0,1,0)+IF(COUNTIF('Resultats Reals'!$G$2:$G$9,BD7)&gt;0,1,0)+IF(COUNTIF('Resultats Reals'!$G$2:$G$9,BE7)&gt;0,1,0)+IF(COUNTIF('Resultats Reals'!$G$2:$G$9,BF7)&gt;0,1,0)+IF(COUNTIF('Resultats Reals'!$G$2:$G$9,BG7)&gt;0,1,0)+IF(COUNTIF('Resultats Reals'!$G$2:$G$9,BH7)&gt;0,1,0)+IF(COUNTIF('Resultats Reals'!$G$2:$G$9,BI7)&gt;0,1,0)+IF(COUNTIF('Resultats Reals'!$G$2:$G$9,BJ7)&gt;0,1,0)</f>
        <v>4</v>
      </c>
      <c r="BZ7">
        <f>IF(COUNTIF('Resultats Reals'!$H$2:$H$5,BK7)&gt;0,1,0)+IF(COUNTIF('Resultats Reals'!$H$2:$H$5,BL7)&gt;0,1,0)+IF(COUNTIF('Resultats Reals'!$H$2:$H$5,BM7)&gt;0,1,0)+IF(COUNTIF('Resultats Reals'!$H$2:$H$5,BN7)&gt;0,1,0)</f>
        <v>2</v>
      </c>
      <c r="CA7">
        <f>IF(COUNTIF('Resultats Reals'!$I$2:$I$3,BO7)&gt;0,3,0)+IF(COUNTIF('Resultats Reals'!$I$2:$I$3,BP7)&gt;0,3,0)</f>
        <v>0</v>
      </c>
      <c r="CB7">
        <f>IF(BQ7='Resultats Reals'!$J$2,5,0)</f>
        <v>0</v>
      </c>
      <c r="CC7">
        <f>IF(BS7='Resultats Reals'!$K$2,5,0)</f>
        <v>0</v>
      </c>
      <c r="CD7">
        <f>IFERROR(VLOOKUP(BT7,'Resultats Reals'!$N$2:$O$100,2,FALSE),0)</f>
        <v>8</v>
      </c>
      <c r="CE7">
        <f>IF(BR7='Resultats Reals'!$L$2,5,0)</f>
        <v>0</v>
      </c>
      <c r="CF7" s="7">
        <f t="shared" si="0"/>
        <v>75.5</v>
      </c>
    </row>
    <row r="8" spans="1:84" x14ac:dyDescent="0.25">
      <c r="A8" t="s">
        <v>123</v>
      </c>
      <c r="B8" t="s">
        <v>124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91</v>
      </c>
      <c r="I8" t="s">
        <v>92</v>
      </c>
      <c r="J8" t="s">
        <v>93</v>
      </c>
      <c r="K8" t="s">
        <v>94</v>
      </c>
      <c r="L8" t="s">
        <v>95</v>
      </c>
      <c r="M8" t="s">
        <v>96</v>
      </c>
      <c r="N8" t="s">
        <v>97</v>
      </c>
      <c r="O8" t="s">
        <v>110</v>
      </c>
      <c r="P8" t="s">
        <v>99</v>
      </c>
      <c r="Q8" t="s">
        <v>100</v>
      </c>
      <c r="R8" t="s">
        <v>101</v>
      </c>
      <c r="S8" t="s">
        <v>102</v>
      </c>
      <c r="T8" t="s">
        <v>114</v>
      </c>
      <c r="U8" t="s">
        <v>115</v>
      </c>
      <c r="V8" t="s">
        <v>105</v>
      </c>
      <c r="W8" t="s">
        <v>117</v>
      </c>
      <c r="X8" t="s">
        <v>107</v>
      </c>
      <c r="Y8" t="s">
        <v>108</v>
      </c>
      <c r="Z8" t="s">
        <v>109</v>
      </c>
      <c r="AA8" t="s">
        <v>98</v>
      </c>
      <c r="AB8" t="s">
        <v>125</v>
      </c>
      <c r="AC8" t="s">
        <v>111</v>
      </c>
      <c r="AD8" t="s">
        <v>126</v>
      </c>
      <c r="AE8" t="s">
        <v>113</v>
      </c>
      <c r="AF8" t="s">
        <v>103</v>
      </c>
      <c r="AG8" t="s">
        <v>104</v>
      </c>
      <c r="AH8" t="s">
        <v>116</v>
      </c>
      <c r="AI8" t="s">
        <v>106</v>
      </c>
      <c r="AJ8" t="s">
        <v>118</v>
      </c>
      <c r="AK8" t="s">
        <v>127</v>
      </c>
      <c r="AL8" t="s">
        <v>120</v>
      </c>
      <c r="AM8" t="s">
        <v>86</v>
      </c>
      <c r="AN8" t="s">
        <v>87</v>
      </c>
      <c r="AO8" t="s">
        <v>88</v>
      </c>
      <c r="AP8" t="s">
        <v>89</v>
      </c>
      <c r="AQ8" t="s">
        <v>90</v>
      </c>
      <c r="AR8" t="s">
        <v>91</v>
      </c>
      <c r="AS8" t="s">
        <v>92</v>
      </c>
      <c r="AT8" t="s">
        <v>93</v>
      </c>
      <c r="AU8" t="s">
        <v>94</v>
      </c>
      <c r="AV8" t="s">
        <v>95</v>
      </c>
      <c r="AW8" t="s">
        <v>96</v>
      </c>
      <c r="AX8" t="s">
        <v>97</v>
      </c>
      <c r="AY8" t="s">
        <v>105</v>
      </c>
      <c r="AZ8" t="s">
        <v>109</v>
      </c>
      <c r="BA8" t="s">
        <v>108</v>
      </c>
      <c r="BB8" t="s">
        <v>100</v>
      </c>
      <c r="BC8" t="s">
        <v>88</v>
      </c>
      <c r="BD8" t="s">
        <v>89</v>
      </c>
      <c r="BE8" t="s">
        <v>90</v>
      </c>
      <c r="BF8" t="s">
        <v>91</v>
      </c>
      <c r="BG8" t="s">
        <v>97</v>
      </c>
      <c r="BH8" t="s">
        <v>93</v>
      </c>
      <c r="BI8" t="s">
        <v>94</v>
      </c>
      <c r="BJ8" t="s">
        <v>95</v>
      </c>
      <c r="BK8" t="s">
        <v>93</v>
      </c>
      <c r="BL8" t="s">
        <v>94</v>
      </c>
      <c r="BM8" t="s">
        <v>97</v>
      </c>
      <c r="BN8" t="s">
        <v>88</v>
      </c>
      <c r="BO8" t="s">
        <v>93</v>
      </c>
      <c r="BP8" t="s">
        <v>94</v>
      </c>
      <c r="BQ8" t="s">
        <v>93</v>
      </c>
      <c r="BS8" t="s">
        <v>121</v>
      </c>
      <c r="BT8" t="s">
        <v>128</v>
      </c>
      <c r="BU8">
        <f>IF(C8='Resultats Reals'!$C$2,2,IF(OR(C8='Resultats Reals'!$C$3,COUNTIF('Resultats Reals'!$E$2:$E$33,C8)&gt;0),1,0))+IF(D8='Resultats Reals'!$C$5,2,IF(OR(D8='Resultats Reals'!$C$6,COUNTIF('Resultats Reals'!$E$2:$E$33,D8)&gt;0),1,0))+IF(E8='Resultats Reals'!$C$8,2,IF(OR(E8='Resultats Reals'!$C$9,COUNTIF('Resultats Reals'!$E$2:$E$33,E8)&gt;0),1,0))+IF(F8='Resultats Reals'!$C$11,2,IF(OR(F8='Resultats Reals'!$C$12,COUNTIF('Resultats Reals'!$E$2:$E$33,F8)&gt;0),1,0))+IF(G8='Resultats Reals'!$C$14,2,IF(OR(G8='Resultats Reals'!$C$15,COUNTIF('Resultats Reals'!$E$2:$E$33,G8)&gt;0),1,0))+IF(H8='Resultats Reals'!$C$17,2,IF(OR(H8='Resultats Reals'!$C$18,COUNTIF('Resultats Reals'!$E$2:$E$33,H8)&gt;0),1,0))+IF(I8='Resultats Reals'!$C$20,2,IF(OR(I8='Resultats Reals'!$C$21,COUNTIF('Resultats Reals'!$E$2:$E$33,I8)&gt;0),1,0))+IF(J8='Resultats Reals'!$C$23,2,IF(OR(J8='Resultats Reals'!$C$24,COUNTIF('Resultats Reals'!$E$2:$E$33,J8)&gt;0),1,0))+IF(K8='Resultats Reals'!$C$26,2,IF(OR(K8='Resultats Reals'!$C$27,COUNTIF('Resultats Reals'!$E$2:$E$33,K8)&gt;0),1,0))+IF(L8='Resultats Reals'!$C$29,2,IF(OR(L8='Resultats Reals'!$C$30,COUNTIF('Resultats Reals'!$E$2:$E$33,L8)&gt;0),1,0))+IF(M8='Resultats Reals'!$C$32,2,IF(OR(M8='Resultats Reals'!$C$33,COUNTIF('Resultats Reals'!$E$2:$E$33,M8)&gt;0),1,0))+IF(N8='Resultats Reals'!$C$35,2,IF(OR(N8='Resultats Reals'!$C$36,COUNTIF('Resultats Reals'!$E$2:$E$33,N8)&gt;0),1,0))</f>
        <v>23</v>
      </c>
      <c r="BV8">
        <f>IF(O8='Resultats Reals'!$C$3,2,IF(OR(O8='Resultats Reals'!$C$2,COUNTIF('Resultats Reals'!$E$2:$E$33,O8)&gt;0),1,0))+IF(P8='Resultats Reals'!$C$6,2,IF(OR(P8='Resultats Reals'!$C$5,COUNTIF('Resultats Reals'!$E$2:$E$33,P8)&gt;0),1,0))+IF(Q8='Resultats Reals'!$C$9,2,IF(OR(Q8='Resultats Reals'!$C$8,COUNTIF('Resultats Reals'!$E$2:$E$33,Q8)&gt;0),1,0))+IF(R8='Resultats Reals'!$C$12,2,IF(OR(R8='Resultats Reals'!$C$11,COUNTIF('Resultats Reals'!$E$2:$E$33,R8)&gt;0),1,0))+IF(S8='Resultats Reals'!$C$15,2,IF(OR(S8='Resultats Reals'!$C$14,COUNTIF('Resultats Reals'!$E$2:$E$33,S8)&gt;0),1,0))+IF(T8='Resultats Reals'!$C$18,2,IF(OR(T8='Resultats Reals'!$C$17,COUNTIF('Resultats Reals'!$E$2:$E$33,T8)&gt;0),1,0))+IF(U8='Resultats Reals'!$C$21,2,IF(OR(U8='Resultats Reals'!$C$20,COUNTIF('Resultats Reals'!$E$2:$E$33,U8)&gt;0),1,0))+IF(V8='Resultats Reals'!$C$24,2,IF(OR(V8='Resultats Reals'!$C$23,COUNTIF('Resultats Reals'!$E$2:$E$33,V8)&gt;0),1,0))+IF(W8='Resultats Reals'!$C$27,2,IF(OR(W8='Resultats Reals'!$C$26,COUNTIF('Resultats Reals'!$E$2:$E$33,W8)&gt;0),1,0))+IF(X8='Resultats Reals'!$C$30,2,IF(OR(X8='Resultats Reals'!$C$29,COUNTIF('Resultats Reals'!$E$2:$E$33,X8)&gt;0),1,0))+IF(Y8='Resultats Reals'!$C$33,2,IF(OR(Y8='Resultats Reals'!$C$32,COUNTIF('Resultats Reals'!$E$2:$E$33,Y8)&gt;0),1,0))+IF(Z8='Resultats Reals'!$C$36,2,IF(OR(Z8='Resultats Reals'!$C$35,COUNTIF('Resultats Reals'!$E$2:$E$33,Z8)&gt;0),1,0))</f>
        <v>14</v>
      </c>
      <c r="BW8">
        <f>IF(AA8='Resultats Reals'!$C$4,IF(COUNTIF('Resultats Reals'!$E$2:$E$33,AA8)&gt;0,2,0.5),IF(OR(AA8='Resultats Reals'!$C$2,AA8='Resultats Reals'!$C$3,COUNTIF('Resultats Reals'!$E$2:$E$33,AA8)&gt;0),1,0))+IF(AB8='Resultats Reals'!$C$7,IF(COUNTIF('Resultats Reals'!$E$2:$E$33,AB8)&gt;0,2,0.5),IF(OR(AB8='Resultats Reals'!$C$5,AB8='Resultats Reals'!$C$6,COUNTIF('Resultats Reals'!$E$2:$E$33,AB8)&gt;0),1,0))+IF(AC8='Resultats Reals'!$C$10,IF(COUNTIF('Resultats Reals'!$E$2:$E$33,AC8)&gt;0,2,0.5),IF(OR(AC8='Resultats Reals'!$C$8,AC8='Resultats Reals'!$C$9,COUNTIF('Resultats Reals'!$E$2:$E$33,AC8)&gt;0),1,0))+IF(AD8='Resultats Reals'!$C$13,IF(COUNTIF('Resultats Reals'!$E$2:$E$33,AD8)&gt;0,2,0.5),IF(OR(AD8='Resultats Reals'!$C$11,AD8='Resultats Reals'!$C$12,COUNTIF('Resultats Reals'!$E$2:$E$33,AD8)&gt;0),1,0))+IF(AE8='Resultats Reals'!$C$16,IF(COUNTIF('Resultats Reals'!$E$2:$E$33,AE8)&gt;0,2,0.5),IF(OR(AE8='Resultats Reals'!$C$14,AE8='Resultats Reals'!$C$15,COUNTIF('Resultats Reals'!$E$2:$E$33,AE8)&gt;0),1,0))+IF(AF8='Resultats Reals'!$C$19,IF(COUNTIF('Resultats Reals'!$E$2:$E$33,AF8)&gt;0,2,0.5),IF(OR(AF8='Resultats Reals'!$C$17,AF8='Resultats Reals'!$C$18,COUNTIF('Resultats Reals'!$E$2:$E$33,AF8)&gt;0),1,0))+IF(AG8='Resultats Reals'!$C$22,IF(COUNTIF('Resultats Reals'!$E$2:$E$33,AG8)&gt;0,2,0.5),IF(OR(AG8='Resultats Reals'!$C$20,AG8='Resultats Reals'!$C$21,COUNTIF('Resultats Reals'!$E$2:$E$33,AG8)&gt;0),1,0))+IF(AH8='Resultats Reals'!$C$25,IF(COUNTIF('Resultats Reals'!$E$2:$E$33,AH8)&gt;0,2,0.5),IF(OR(AH8='Resultats Reals'!$C$23,AH8='Resultats Reals'!$C$24,COUNTIF('Resultats Reals'!$E$2:$E$33,AH8)&gt;0),1,0))+IF(AI8='Resultats Reals'!$C$28,IF(COUNTIF('Resultats Reals'!$E$2:$E$33,AI8)&gt;0,2,0.5),IF(OR(AI8='Resultats Reals'!$C$26,AI8='Resultats Reals'!$C$27,COUNTIF('Resultats Reals'!$E$2:$E$33,AI8)&gt;0),1,0))+IF(AJ8='Resultats Reals'!$C$31,IF(COUNTIF('Resultats Reals'!$E$2:$E$33,AJ8)&gt;0,2,0.5),IF(OR(AJ8='Resultats Reals'!$C$29,AJ8='Resultats Reals'!$C$30,COUNTIF('Resultats Reals'!$E$2:$E$33,AJ8)&gt;0),1,0))+IF(AK8='Resultats Reals'!$C$34,IF(COUNTIF('Resultats Reals'!$E$2:$E$33,AK8)&gt;0,2,0.5),IF(OR(AK8='Resultats Reals'!$C$32,AK8='Resultats Reals'!$C$33,COUNTIF('Resultats Reals'!$E$2:$E$33,AK8)&gt;0),1,0))+IF(AL8='Resultats Reals'!$C$37,IF(COUNTIF('Resultats Reals'!$E$2:$E$33,AL8)&gt;0,2,0.5),IF(OR(AL8='Resultats Reals'!$C$35,AL8='Resultats Reals'!$C$36,COUNTIF('Resultats Reals'!$E$2:$E$33,AL8)&gt;0),1,0))</f>
        <v>14</v>
      </c>
      <c r="BX8">
        <f>IF(COUNTIF('Resultats Reals'!$F$2:$F$17,AM8)&gt;0,1,0)+IF(COUNTIF('Resultats Reals'!$F$2:$F$17,AN8)&gt;0,1,0)+IF(COUNTIF('Resultats Reals'!$F$2:$F$17,AO8)&gt;0,1,0)+IF(COUNTIF('Resultats Reals'!$F$2:$F$17,AP8)&gt;0,1,0)+IF(COUNTIF('Resultats Reals'!$F$2:$F$17,AQ8)&gt;0,1,0)+IF(COUNTIF('Resultats Reals'!$F$2:$F$17,AR8)&gt;0,1,0)+IF(COUNTIF('Resultats Reals'!$F$2:$F$17,AS8)&gt;0,1,0)+IF(COUNTIF('Resultats Reals'!$F$2:$F$17,AT8)&gt;0,1,0)+IF(COUNTIF('Resultats Reals'!$F$2:$F$17,AU8)&gt;0,1,0)+IF(COUNTIF('Resultats Reals'!$F$2:$F$17,AV8)&gt;0,1,0)+IF(COUNTIF('Resultats Reals'!$F$2:$F$17,AW8)&gt;0,1,0)+IF(COUNTIF('Resultats Reals'!$F$2:$F$17,AX8)&gt;0,1,0)+IF(COUNTIF('Resultats Reals'!$F$2:$F$17,AY8)&gt;0,1,0)+IF(COUNTIF('Resultats Reals'!$F$2:$F$17,AZ8)&gt;0,1,0)+IF(COUNTIF('Resultats Reals'!$F$2:$F$17,BA8)&gt;0,1,0)+IF(COUNTIF('Resultats Reals'!$F$2:$F$17,BB8)&gt;0,1,0)</f>
        <v>12</v>
      </c>
      <c r="BY8">
        <f>IF(COUNTIF('Resultats Reals'!$G$2:$G$9,BC8)&gt;0,1,0)+IF(COUNTIF('Resultats Reals'!$G$2:$G$9,BD8)&gt;0,1,0)+IF(COUNTIF('Resultats Reals'!$G$2:$G$9,BE8)&gt;0,1,0)+IF(COUNTIF('Resultats Reals'!$G$2:$G$9,BF8)&gt;0,1,0)+IF(COUNTIF('Resultats Reals'!$G$2:$G$9,BG8)&gt;0,1,0)+IF(COUNTIF('Resultats Reals'!$G$2:$G$9,BH8)&gt;0,1,0)+IF(COUNTIF('Resultats Reals'!$G$2:$G$9,BI8)&gt;0,1,0)+IF(COUNTIF('Resultats Reals'!$G$2:$G$9,BJ8)&gt;0,1,0)</f>
        <v>4</v>
      </c>
      <c r="BZ8">
        <f>IF(COUNTIF('Resultats Reals'!$H$2:$H$5,BK8)&gt;0,1,0)+IF(COUNTIF('Resultats Reals'!$H$2:$H$5,BL8)&gt;0,1,0)+IF(COUNTIF('Resultats Reals'!$H$2:$H$5,BM8)&gt;0,1,0)+IF(COUNTIF('Resultats Reals'!$H$2:$H$5,BN8)&gt;0,1,0)</f>
        <v>3</v>
      </c>
      <c r="CA8">
        <f>IF(COUNTIF('Resultats Reals'!$I$2:$I$3,BO8)&gt;0,3,0)+IF(COUNTIF('Resultats Reals'!$I$2:$I$3,BP8)&gt;0,3,0)</f>
        <v>0</v>
      </c>
      <c r="CB8">
        <f>IF(BQ8='Resultats Reals'!$J$2,5,0)</f>
        <v>0</v>
      </c>
      <c r="CC8">
        <f>IF(BS8='Resultats Reals'!$K$2,5,0)</f>
        <v>0</v>
      </c>
      <c r="CD8">
        <f>IFERROR(VLOOKUP(BT8,'Resultats Reals'!$N$2:$O$100,2,FALSE),0)</f>
        <v>8</v>
      </c>
      <c r="CE8">
        <f>IF(BR8='Resultats Reals'!$L$2,5,0)</f>
        <v>0</v>
      </c>
      <c r="CF8" s="7">
        <f t="shared" si="0"/>
        <v>78</v>
      </c>
    </row>
    <row r="9" spans="1:84" x14ac:dyDescent="0.25">
      <c r="A9" t="s">
        <v>184</v>
      </c>
      <c r="B9" t="s">
        <v>85</v>
      </c>
      <c r="C9" t="s">
        <v>86</v>
      </c>
      <c r="D9" t="s">
        <v>99</v>
      </c>
      <c r="E9" t="s">
        <v>88</v>
      </c>
      <c r="F9" t="s">
        <v>89</v>
      </c>
      <c r="G9" t="s">
        <v>90</v>
      </c>
      <c r="H9" t="s">
        <v>91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 t="s">
        <v>97</v>
      </c>
      <c r="O9" t="s">
        <v>98</v>
      </c>
      <c r="P9" t="s">
        <v>87</v>
      </c>
      <c r="Q9" t="s">
        <v>100</v>
      </c>
      <c r="R9" t="s">
        <v>101</v>
      </c>
      <c r="S9" t="s">
        <v>102</v>
      </c>
      <c r="T9" t="s">
        <v>114</v>
      </c>
      <c r="U9" t="s">
        <v>115</v>
      </c>
      <c r="V9" t="s">
        <v>105</v>
      </c>
      <c r="W9" t="s">
        <v>106</v>
      </c>
      <c r="X9" t="s">
        <v>107</v>
      </c>
      <c r="Y9" t="s">
        <v>108</v>
      </c>
      <c r="Z9" t="s">
        <v>109</v>
      </c>
      <c r="AA9" t="s">
        <v>130</v>
      </c>
      <c r="AB9" t="s">
        <v>125</v>
      </c>
      <c r="AC9" t="s">
        <v>111</v>
      </c>
      <c r="AD9" t="s">
        <v>126</v>
      </c>
      <c r="AE9" t="s">
        <v>113</v>
      </c>
      <c r="AF9" t="s">
        <v>103</v>
      </c>
      <c r="AG9" t="s">
        <v>104</v>
      </c>
      <c r="AH9" t="s">
        <v>116</v>
      </c>
      <c r="AI9" t="s">
        <v>117</v>
      </c>
      <c r="AJ9" t="s">
        <v>118</v>
      </c>
      <c r="AK9" t="s">
        <v>119</v>
      </c>
      <c r="AL9" t="s">
        <v>120</v>
      </c>
      <c r="AM9" t="s">
        <v>86</v>
      </c>
      <c r="AN9" t="s">
        <v>98</v>
      </c>
      <c r="AO9" t="s">
        <v>99</v>
      </c>
      <c r="AP9" t="s">
        <v>87</v>
      </c>
      <c r="AQ9" t="s">
        <v>88</v>
      </c>
      <c r="AR9" t="s">
        <v>100</v>
      </c>
      <c r="AS9" t="s">
        <v>89</v>
      </c>
      <c r="AT9" t="s">
        <v>101</v>
      </c>
      <c r="AU9" t="s">
        <v>90</v>
      </c>
      <c r="AV9" t="s">
        <v>102</v>
      </c>
      <c r="AW9" t="s">
        <v>91</v>
      </c>
      <c r="AX9" t="s">
        <v>114</v>
      </c>
      <c r="AY9" t="s">
        <v>92</v>
      </c>
      <c r="AZ9" t="s">
        <v>93</v>
      </c>
      <c r="BA9" t="s">
        <v>94</v>
      </c>
      <c r="BB9" t="s">
        <v>95</v>
      </c>
      <c r="BC9" t="s">
        <v>88</v>
      </c>
      <c r="BD9" t="s">
        <v>93</v>
      </c>
      <c r="BE9" t="s">
        <v>94</v>
      </c>
      <c r="BF9" t="s">
        <v>95</v>
      </c>
      <c r="BG9" t="s">
        <v>97</v>
      </c>
      <c r="BH9" t="s">
        <v>96</v>
      </c>
      <c r="BI9" t="s">
        <v>90</v>
      </c>
      <c r="BJ9" t="s">
        <v>91</v>
      </c>
      <c r="BK9" t="s">
        <v>94</v>
      </c>
      <c r="BL9" t="s">
        <v>93</v>
      </c>
      <c r="BM9" t="s">
        <v>88</v>
      </c>
      <c r="BN9" t="s">
        <v>95</v>
      </c>
      <c r="BO9" t="s">
        <v>94</v>
      </c>
      <c r="BP9" t="s">
        <v>93</v>
      </c>
      <c r="BQ9" t="s">
        <v>93</v>
      </c>
      <c r="BR9" s="6" t="s">
        <v>185</v>
      </c>
      <c r="BS9" t="s">
        <v>121</v>
      </c>
      <c r="BT9" t="s">
        <v>128</v>
      </c>
      <c r="BU9">
        <f>IF(C9='Resultats Reals'!$C$2,2,IF(OR(C9='Resultats Reals'!$C$3,COUNTIF('Resultats Reals'!$E$2:$E$33,C9)&gt;0),1,0))+IF(D9='Resultats Reals'!$C$5,2,IF(OR(D9='Resultats Reals'!$C$6,COUNTIF('Resultats Reals'!$E$2:$E$33,D9)&gt;0),1,0))+IF(E9='Resultats Reals'!$C$8,2,IF(OR(E9='Resultats Reals'!$C$9,COUNTIF('Resultats Reals'!$E$2:$E$33,E9)&gt;0),1,0))+IF(F9='Resultats Reals'!$C$11,2,IF(OR(F9='Resultats Reals'!$C$12,COUNTIF('Resultats Reals'!$E$2:$E$33,F9)&gt;0),1,0))+IF(G9='Resultats Reals'!$C$14,2,IF(OR(G9='Resultats Reals'!$C$15,COUNTIF('Resultats Reals'!$E$2:$E$33,G9)&gt;0),1,0))+IF(H9='Resultats Reals'!$C$17,2,IF(OR(H9='Resultats Reals'!$C$18,COUNTIF('Resultats Reals'!$E$2:$E$33,H9)&gt;0),1,0))+IF(I9='Resultats Reals'!$C$20,2,IF(OR(I9='Resultats Reals'!$C$21,COUNTIF('Resultats Reals'!$E$2:$E$33,I9)&gt;0),1,0))+IF(J9='Resultats Reals'!$C$23,2,IF(OR(J9='Resultats Reals'!$C$24,COUNTIF('Resultats Reals'!$E$2:$E$33,J9)&gt;0),1,0))+IF(K9='Resultats Reals'!$C$26,2,IF(OR(K9='Resultats Reals'!$C$27,COUNTIF('Resultats Reals'!$E$2:$E$33,K9)&gt;0),1,0))+IF(L9='Resultats Reals'!$C$29,2,IF(OR(L9='Resultats Reals'!$C$30,COUNTIF('Resultats Reals'!$E$2:$E$33,L9)&gt;0),1,0))+IF(M9='Resultats Reals'!$C$32,2,IF(OR(M9='Resultats Reals'!$C$33,COUNTIF('Resultats Reals'!$E$2:$E$33,M9)&gt;0),1,0))+IF(N9='Resultats Reals'!$C$35,2,IF(OR(N9='Resultats Reals'!$C$36,COUNTIF('Resultats Reals'!$E$2:$E$33,N9)&gt;0),1,0))</f>
        <v>22</v>
      </c>
      <c r="BV9">
        <f>IF(O9='Resultats Reals'!$C$3,2,IF(OR(O9='Resultats Reals'!$C$2,COUNTIF('Resultats Reals'!$E$2:$E$33,O9)&gt;0),1,0))+IF(P9='Resultats Reals'!$C$6,2,IF(OR(P9='Resultats Reals'!$C$5,COUNTIF('Resultats Reals'!$E$2:$E$33,P9)&gt;0),1,0))+IF(Q9='Resultats Reals'!$C$9,2,IF(OR(Q9='Resultats Reals'!$C$8,COUNTIF('Resultats Reals'!$E$2:$E$33,Q9)&gt;0),1,0))+IF(R9='Resultats Reals'!$C$12,2,IF(OR(R9='Resultats Reals'!$C$11,COUNTIF('Resultats Reals'!$E$2:$E$33,R9)&gt;0),1,0))+IF(S9='Resultats Reals'!$C$15,2,IF(OR(S9='Resultats Reals'!$C$14,COUNTIF('Resultats Reals'!$E$2:$E$33,S9)&gt;0),1,0))+IF(T9='Resultats Reals'!$C$18,2,IF(OR(T9='Resultats Reals'!$C$17,COUNTIF('Resultats Reals'!$E$2:$E$33,T9)&gt;0),1,0))+IF(U9='Resultats Reals'!$C$21,2,IF(OR(U9='Resultats Reals'!$C$20,COUNTIF('Resultats Reals'!$E$2:$E$33,U9)&gt;0),1,0))+IF(V9='Resultats Reals'!$C$24,2,IF(OR(V9='Resultats Reals'!$C$23,COUNTIF('Resultats Reals'!$E$2:$E$33,V9)&gt;0),1,0))+IF(W9='Resultats Reals'!$C$27,2,IF(OR(W9='Resultats Reals'!$C$26,COUNTIF('Resultats Reals'!$E$2:$E$33,W9)&gt;0),1,0))+IF(X9='Resultats Reals'!$C$30,2,IF(OR(X9='Resultats Reals'!$C$29,COUNTIF('Resultats Reals'!$E$2:$E$33,X9)&gt;0),1,0))+IF(Y9='Resultats Reals'!$C$33,2,IF(OR(Y9='Resultats Reals'!$C$32,COUNTIF('Resultats Reals'!$E$2:$E$33,Y9)&gt;0),1,0))+IF(Z9='Resultats Reals'!$C$36,2,IF(OR(Z9='Resultats Reals'!$C$35,COUNTIF('Resultats Reals'!$E$2:$E$33,Z9)&gt;0),1,0))</f>
        <v>12</v>
      </c>
      <c r="BW9">
        <f>IF(AA9='Resultats Reals'!$C$4,IF(COUNTIF('Resultats Reals'!$E$2:$E$33,AA9)&gt;0,2,0.5),IF(OR(AA9='Resultats Reals'!$C$2,AA9='Resultats Reals'!$C$3,COUNTIF('Resultats Reals'!$E$2:$E$33,AA9)&gt;0),1,0))+IF(AB9='Resultats Reals'!$C$7,IF(COUNTIF('Resultats Reals'!$E$2:$E$33,AB9)&gt;0,2,0.5),IF(OR(AB9='Resultats Reals'!$C$5,AB9='Resultats Reals'!$C$6,COUNTIF('Resultats Reals'!$E$2:$E$33,AB9)&gt;0),1,0))+IF(AC9='Resultats Reals'!$C$10,IF(COUNTIF('Resultats Reals'!$E$2:$E$33,AC9)&gt;0,2,0.5),IF(OR(AC9='Resultats Reals'!$C$8,AC9='Resultats Reals'!$C$9,COUNTIF('Resultats Reals'!$E$2:$E$33,AC9)&gt;0),1,0))+IF(AD9='Resultats Reals'!$C$13,IF(COUNTIF('Resultats Reals'!$E$2:$E$33,AD9)&gt;0,2,0.5),IF(OR(AD9='Resultats Reals'!$C$11,AD9='Resultats Reals'!$C$12,COUNTIF('Resultats Reals'!$E$2:$E$33,AD9)&gt;0),1,0))+IF(AE9='Resultats Reals'!$C$16,IF(COUNTIF('Resultats Reals'!$E$2:$E$33,AE9)&gt;0,2,0.5),IF(OR(AE9='Resultats Reals'!$C$14,AE9='Resultats Reals'!$C$15,COUNTIF('Resultats Reals'!$E$2:$E$33,AE9)&gt;0),1,0))+IF(AF9='Resultats Reals'!$C$19,IF(COUNTIF('Resultats Reals'!$E$2:$E$33,AF9)&gt;0,2,0.5),IF(OR(AF9='Resultats Reals'!$C$17,AF9='Resultats Reals'!$C$18,COUNTIF('Resultats Reals'!$E$2:$E$33,AF9)&gt;0),1,0))+IF(AG9='Resultats Reals'!$C$22,IF(COUNTIF('Resultats Reals'!$E$2:$E$33,AG9)&gt;0,2,0.5),IF(OR(AG9='Resultats Reals'!$C$20,AG9='Resultats Reals'!$C$21,COUNTIF('Resultats Reals'!$E$2:$E$33,AG9)&gt;0),1,0))+IF(AH9='Resultats Reals'!$C$25,IF(COUNTIF('Resultats Reals'!$E$2:$E$33,AH9)&gt;0,2,0.5),IF(OR(AH9='Resultats Reals'!$C$23,AH9='Resultats Reals'!$C$24,COUNTIF('Resultats Reals'!$E$2:$E$33,AH9)&gt;0),1,0))+IF(AI9='Resultats Reals'!$C$28,IF(COUNTIF('Resultats Reals'!$E$2:$E$33,AI9)&gt;0,2,0.5),IF(OR(AI9='Resultats Reals'!$C$26,AI9='Resultats Reals'!$C$27,COUNTIF('Resultats Reals'!$E$2:$E$33,AI9)&gt;0),1,0))+IF(AJ9='Resultats Reals'!$C$31,IF(COUNTIF('Resultats Reals'!$E$2:$E$33,AJ9)&gt;0,2,0.5),IF(OR(AJ9='Resultats Reals'!$C$29,AJ9='Resultats Reals'!$C$30,COUNTIF('Resultats Reals'!$E$2:$E$33,AJ9)&gt;0),1,0))+IF(AK9='Resultats Reals'!$C$34,IF(COUNTIF('Resultats Reals'!$E$2:$E$33,AK9)&gt;0,2,0.5),IF(OR(AK9='Resultats Reals'!$C$32,AK9='Resultats Reals'!$C$33,COUNTIF('Resultats Reals'!$E$2:$E$33,AK9)&gt;0),1,0))+IF(AL9='Resultats Reals'!$C$37,IF(COUNTIF('Resultats Reals'!$E$2:$E$33,AL9)&gt;0,2,0.5),IF(OR(AL9='Resultats Reals'!$C$35,AL9='Resultats Reals'!$C$36,COUNTIF('Resultats Reals'!$E$2:$E$33,AL9)&gt;0),1,0))</f>
        <v>11.5</v>
      </c>
      <c r="BX9">
        <f>IF(COUNTIF('Resultats Reals'!$F$2:$F$17,AM9)&gt;0,1,0)+IF(COUNTIF('Resultats Reals'!$F$2:$F$17,AN9)&gt;0,1,0)+IF(COUNTIF('Resultats Reals'!$F$2:$F$17,AO9)&gt;0,1,0)+IF(COUNTIF('Resultats Reals'!$F$2:$F$17,AP9)&gt;0,1,0)+IF(COUNTIF('Resultats Reals'!$F$2:$F$17,AQ9)&gt;0,1,0)+IF(COUNTIF('Resultats Reals'!$F$2:$F$17,AR9)&gt;0,1,0)+IF(COUNTIF('Resultats Reals'!$F$2:$F$17,AS9)&gt;0,1,0)+IF(COUNTIF('Resultats Reals'!$F$2:$F$17,AT9)&gt;0,1,0)+IF(COUNTIF('Resultats Reals'!$F$2:$F$17,AU9)&gt;0,1,0)+IF(COUNTIF('Resultats Reals'!$F$2:$F$17,AV9)&gt;0,1,0)+IF(COUNTIF('Resultats Reals'!$F$2:$F$17,AW9)&gt;0,1,0)+IF(COUNTIF('Resultats Reals'!$F$2:$F$17,AX9)&gt;0,1,0)+IF(COUNTIF('Resultats Reals'!$F$2:$F$17,AY9)&gt;0,1,0)+IF(COUNTIF('Resultats Reals'!$F$2:$F$17,AZ9)&gt;0,1,0)+IF(COUNTIF('Resultats Reals'!$F$2:$F$17,BA9)&gt;0,1,0)+IF(COUNTIF('Resultats Reals'!$F$2:$F$17,BB9)&gt;0,1,0)</f>
        <v>10</v>
      </c>
      <c r="BY9">
        <f>IF(COUNTIF('Resultats Reals'!$G$2:$G$9,BC9)&gt;0,1,0)+IF(COUNTIF('Resultats Reals'!$G$2:$G$9,BD9)&gt;0,1,0)+IF(COUNTIF('Resultats Reals'!$G$2:$G$9,BE9)&gt;0,1,0)+IF(COUNTIF('Resultats Reals'!$G$2:$G$9,BF9)&gt;0,1,0)+IF(COUNTIF('Resultats Reals'!$G$2:$G$9,BG9)&gt;0,1,0)+IF(COUNTIF('Resultats Reals'!$G$2:$G$9,BH9)&gt;0,1,0)+IF(COUNTIF('Resultats Reals'!$G$2:$G$9,BI9)&gt;0,1,0)+IF(COUNTIF('Resultats Reals'!$G$2:$G$9,BJ9)&gt;0,1,0)</f>
        <v>4</v>
      </c>
      <c r="BZ9">
        <f>IF(COUNTIF('Resultats Reals'!$H$2:$H$5,BK9)&gt;0,1,0)+IF(COUNTIF('Resultats Reals'!$H$2:$H$5,BL9)&gt;0,1,0)+IF(COUNTIF('Resultats Reals'!$H$2:$H$5,BM9)&gt;0,1,0)+IF(COUNTIF('Resultats Reals'!$H$2:$H$5,BN9)&gt;0,1,0)</f>
        <v>3</v>
      </c>
      <c r="CA9">
        <f>IF(COUNTIF('Resultats Reals'!$I$2:$I$3,BO9)&gt;0,3,0)+IF(COUNTIF('Resultats Reals'!$I$2:$I$3,BP9)&gt;0,3,0)</f>
        <v>0</v>
      </c>
      <c r="CB9">
        <f>IF(BQ9='Resultats Reals'!$J$2,5,0)</f>
        <v>0</v>
      </c>
      <c r="CC9">
        <f>IF(BS9='Resultats Reals'!$K$2,5,0)</f>
        <v>0</v>
      </c>
      <c r="CD9">
        <f>IFERROR(VLOOKUP(BT9,'Resultats Reals'!$N$2:$O$100,2,FALSE),0)</f>
        <v>8</v>
      </c>
      <c r="CE9">
        <f>IF(BR9='Resultats Reals'!$L$2,5,0)</f>
        <v>0</v>
      </c>
      <c r="CF9" s="7">
        <f t="shared" si="0"/>
        <v>70.5</v>
      </c>
    </row>
    <row r="10" spans="1:84" x14ac:dyDescent="0.25">
      <c r="A10" t="s">
        <v>207</v>
      </c>
      <c r="B10" t="s">
        <v>163</v>
      </c>
      <c r="C10" t="s">
        <v>86</v>
      </c>
      <c r="D10" t="s">
        <v>87</v>
      </c>
      <c r="E10" t="s">
        <v>88</v>
      </c>
      <c r="F10" t="s">
        <v>101</v>
      </c>
      <c r="G10" t="s">
        <v>90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108</v>
      </c>
      <c r="N10" t="s">
        <v>97</v>
      </c>
      <c r="O10" t="s">
        <v>98</v>
      </c>
      <c r="P10" t="s">
        <v>99</v>
      </c>
      <c r="Q10" t="s">
        <v>100</v>
      </c>
      <c r="R10" t="s">
        <v>89</v>
      </c>
      <c r="S10" t="s">
        <v>113</v>
      </c>
      <c r="T10" t="s">
        <v>103</v>
      </c>
      <c r="U10" t="s">
        <v>104</v>
      </c>
      <c r="V10" t="s">
        <v>105</v>
      </c>
      <c r="W10" t="s">
        <v>106</v>
      </c>
      <c r="X10" t="s">
        <v>107</v>
      </c>
      <c r="Y10" t="s">
        <v>96</v>
      </c>
      <c r="Z10" t="s">
        <v>109</v>
      </c>
      <c r="AA10" t="s">
        <v>110</v>
      </c>
      <c r="AB10" t="s">
        <v>125</v>
      </c>
      <c r="AC10" t="s">
        <v>111</v>
      </c>
      <c r="AD10" t="s">
        <v>112</v>
      </c>
      <c r="AE10" t="s">
        <v>102</v>
      </c>
      <c r="AF10" t="s">
        <v>114</v>
      </c>
      <c r="AG10" t="s">
        <v>115</v>
      </c>
      <c r="AH10" t="s">
        <v>142</v>
      </c>
      <c r="AI10" t="s">
        <v>117</v>
      </c>
      <c r="AJ10" t="s">
        <v>143</v>
      </c>
      <c r="AK10" t="s">
        <v>127</v>
      </c>
      <c r="AL10" t="s">
        <v>144</v>
      </c>
      <c r="AM10" t="s">
        <v>94</v>
      </c>
      <c r="AN10" t="s">
        <v>93</v>
      </c>
      <c r="AO10" t="s">
        <v>97</v>
      </c>
      <c r="AP10" t="s">
        <v>96</v>
      </c>
      <c r="AQ10" t="s">
        <v>90</v>
      </c>
      <c r="AR10" t="s">
        <v>88</v>
      </c>
      <c r="AS10" t="s">
        <v>95</v>
      </c>
      <c r="AT10" t="s">
        <v>92</v>
      </c>
      <c r="AU10" t="s">
        <v>108</v>
      </c>
      <c r="AV10" t="s">
        <v>91</v>
      </c>
      <c r="AW10" t="s">
        <v>87</v>
      </c>
      <c r="AX10" t="s">
        <v>100</v>
      </c>
      <c r="AY10" t="s">
        <v>108</v>
      </c>
      <c r="AZ10" t="s">
        <v>99</v>
      </c>
      <c r="BA10" t="s">
        <v>117</v>
      </c>
      <c r="BB10" t="s">
        <v>101</v>
      </c>
      <c r="BC10" t="s">
        <v>93</v>
      </c>
      <c r="BD10" t="s">
        <v>94</v>
      </c>
      <c r="BE10" t="s">
        <v>95</v>
      </c>
      <c r="BF10" t="s">
        <v>97</v>
      </c>
      <c r="BG10" t="s">
        <v>88</v>
      </c>
      <c r="BH10" t="s">
        <v>96</v>
      </c>
      <c r="BI10" t="s">
        <v>100</v>
      </c>
      <c r="BJ10" t="s">
        <v>91</v>
      </c>
      <c r="BK10" t="s">
        <v>95</v>
      </c>
      <c r="BL10" t="s">
        <v>91</v>
      </c>
      <c r="BM10" t="s">
        <v>93</v>
      </c>
      <c r="BN10" t="s">
        <v>88</v>
      </c>
      <c r="BO10" t="s">
        <v>95</v>
      </c>
      <c r="BP10" t="s">
        <v>91</v>
      </c>
      <c r="BQ10" t="s">
        <v>95</v>
      </c>
      <c r="BS10" t="s">
        <v>121</v>
      </c>
      <c r="BT10" t="s">
        <v>128</v>
      </c>
      <c r="BU10">
        <f>IF(C10='Resultats Reals'!$C$2,2,IF(OR(C10='Resultats Reals'!$C$3,COUNTIF('Resultats Reals'!$E$2:$E$33,C10)&gt;0),1,0))+IF(D10='Resultats Reals'!$C$5,2,IF(OR(D10='Resultats Reals'!$C$6,COUNTIF('Resultats Reals'!$E$2:$E$33,D10)&gt;0),1,0))+IF(E10='Resultats Reals'!$C$8,2,IF(OR(E10='Resultats Reals'!$C$9,COUNTIF('Resultats Reals'!$E$2:$E$33,E10)&gt;0),1,0))+IF(F10='Resultats Reals'!$C$11,2,IF(OR(F10='Resultats Reals'!$C$12,COUNTIF('Resultats Reals'!$E$2:$E$33,F10)&gt;0),1,0))+IF(G10='Resultats Reals'!$C$14,2,IF(OR(G10='Resultats Reals'!$C$15,COUNTIF('Resultats Reals'!$E$2:$E$33,G10)&gt;0),1,0))+IF(H10='Resultats Reals'!$C$17,2,IF(OR(H10='Resultats Reals'!$C$18,COUNTIF('Resultats Reals'!$E$2:$E$33,H10)&gt;0),1,0))+IF(I10='Resultats Reals'!$C$20,2,IF(OR(I10='Resultats Reals'!$C$21,COUNTIF('Resultats Reals'!$E$2:$E$33,I10)&gt;0),1,0))+IF(J10='Resultats Reals'!$C$23,2,IF(OR(J10='Resultats Reals'!$C$24,COUNTIF('Resultats Reals'!$E$2:$E$33,J10)&gt;0),1,0))+IF(K10='Resultats Reals'!$C$26,2,IF(OR(K10='Resultats Reals'!$C$27,COUNTIF('Resultats Reals'!$E$2:$E$33,K10)&gt;0),1,0))+IF(L10='Resultats Reals'!$C$29,2,IF(OR(L10='Resultats Reals'!$C$30,COUNTIF('Resultats Reals'!$E$2:$E$33,L10)&gt;0),1,0))+IF(M10='Resultats Reals'!$C$32,2,IF(OR(M10='Resultats Reals'!$C$33,COUNTIF('Resultats Reals'!$E$2:$E$33,M10)&gt;0),1,0))+IF(N10='Resultats Reals'!$C$35,2,IF(OR(N10='Resultats Reals'!$C$36,COUNTIF('Resultats Reals'!$E$2:$E$33,N10)&gt;0),1,0))</f>
        <v>22</v>
      </c>
      <c r="BV10">
        <f>IF(O10='Resultats Reals'!$C$3,2,IF(OR(O10='Resultats Reals'!$C$2,COUNTIF('Resultats Reals'!$E$2:$E$33,O10)&gt;0),1,0))+IF(P10='Resultats Reals'!$C$6,2,IF(OR(P10='Resultats Reals'!$C$5,COUNTIF('Resultats Reals'!$E$2:$E$33,P10)&gt;0),1,0))+IF(Q10='Resultats Reals'!$C$9,2,IF(OR(Q10='Resultats Reals'!$C$8,COUNTIF('Resultats Reals'!$E$2:$E$33,Q10)&gt;0),1,0))+IF(R10='Resultats Reals'!$C$12,2,IF(OR(R10='Resultats Reals'!$C$11,COUNTIF('Resultats Reals'!$E$2:$E$33,R10)&gt;0),1,0))+IF(S10='Resultats Reals'!$C$15,2,IF(OR(S10='Resultats Reals'!$C$14,COUNTIF('Resultats Reals'!$E$2:$E$33,S10)&gt;0),1,0))+IF(T10='Resultats Reals'!$C$18,2,IF(OR(T10='Resultats Reals'!$C$17,COUNTIF('Resultats Reals'!$E$2:$E$33,T10)&gt;0),1,0))+IF(U10='Resultats Reals'!$C$21,2,IF(OR(U10='Resultats Reals'!$C$20,COUNTIF('Resultats Reals'!$E$2:$E$33,U10)&gt;0),1,0))+IF(V10='Resultats Reals'!$C$24,2,IF(OR(V10='Resultats Reals'!$C$23,COUNTIF('Resultats Reals'!$E$2:$E$33,V10)&gt;0),1,0))+IF(W10='Resultats Reals'!$C$27,2,IF(OR(W10='Resultats Reals'!$C$26,COUNTIF('Resultats Reals'!$E$2:$E$33,W10)&gt;0),1,0))+IF(X10='Resultats Reals'!$C$30,2,IF(OR(X10='Resultats Reals'!$C$29,COUNTIF('Resultats Reals'!$E$2:$E$33,X10)&gt;0),1,0))+IF(Y10='Resultats Reals'!$C$33,2,IF(OR(Y10='Resultats Reals'!$C$32,COUNTIF('Resultats Reals'!$E$2:$E$33,Y10)&gt;0),1,0))+IF(Z10='Resultats Reals'!$C$36,2,IF(OR(Z10='Resultats Reals'!$C$35,COUNTIF('Resultats Reals'!$E$2:$E$33,Z10)&gt;0),1,0))</f>
        <v>17</v>
      </c>
      <c r="BW10">
        <f>IF(AA10='Resultats Reals'!$C$4,IF(COUNTIF('Resultats Reals'!$E$2:$E$33,AA10)&gt;0,2,0.5),IF(OR(AA10='Resultats Reals'!$C$2,AA10='Resultats Reals'!$C$3,COUNTIF('Resultats Reals'!$E$2:$E$33,AA10)&gt;0),1,0))+IF(AB10='Resultats Reals'!$C$7,IF(COUNTIF('Resultats Reals'!$E$2:$E$33,AB10)&gt;0,2,0.5),IF(OR(AB10='Resultats Reals'!$C$5,AB10='Resultats Reals'!$C$6,COUNTIF('Resultats Reals'!$E$2:$E$33,AB10)&gt;0),1,0))+IF(AC10='Resultats Reals'!$C$10,IF(COUNTIF('Resultats Reals'!$E$2:$E$33,AC10)&gt;0,2,0.5),IF(OR(AC10='Resultats Reals'!$C$8,AC10='Resultats Reals'!$C$9,COUNTIF('Resultats Reals'!$E$2:$E$33,AC10)&gt;0),1,0))+IF(AD10='Resultats Reals'!$C$13,IF(COUNTIF('Resultats Reals'!$E$2:$E$33,AD10)&gt;0,2,0.5),IF(OR(AD10='Resultats Reals'!$C$11,AD10='Resultats Reals'!$C$12,COUNTIF('Resultats Reals'!$E$2:$E$33,AD10)&gt;0),1,0))+IF(AE10='Resultats Reals'!$C$16,IF(COUNTIF('Resultats Reals'!$E$2:$E$33,AE10)&gt;0,2,0.5),IF(OR(AE10='Resultats Reals'!$C$14,AE10='Resultats Reals'!$C$15,COUNTIF('Resultats Reals'!$E$2:$E$33,AE10)&gt;0),1,0))+IF(AF10='Resultats Reals'!$C$19,IF(COUNTIF('Resultats Reals'!$E$2:$E$33,AF10)&gt;0,2,0.5),IF(OR(AF10='Resultats Reals'!$C$17,AF10='Resultats Reals'!$C$18,COUNTIF('Resultats Reals'!$E$2:$E$33,AF10)&gt;0),1,0))+IF(AG10='Resultats Reals'!$C$22,IF(COUNTIF('Resultats Reals'!$E$2:$E$33,AG10)&gt;0,2,0.5),IF(OR(AG10='Resultats Reals'!$C$20,AG10='Resultats Reals'!$C$21,COUNTIF('Resultats Reals'!$E$2:$E$33,AG10)&gt;0),1,0))+IF(AH10='Resultats Reals'!$C$25,IF(COUNTIF('Resultats Reals'!$E$2:$E$33,AH10)&gt;0,2,0.5),IF(OR(AH10='Resultats Reals'!$C$23,AH10='Resultats Reals'!$C$24,COUNTIF('Resultats Reals'!$E$2:$E$33,AH10)&gt;0),1,0))+IF(AI10='Resultats Reals'!$C$28,IF(COUNTIF('Resultats Reals'!$E$2:$E$33,AI10)&gt;0,2,0.5),IF(OR(AI10='Resultats Reals'!$C$26,AI10='Resultats Reals'!$C$27,COUNTIF('Resultats Reals'!$E$2:$E$33,AI10)&gt;0),1,0))+IF(AJ10='Resultats Reals'!$C$31,IF(COUNTIF('Resultats Reals'!$E$2:$E$33,AJ10)&gt;0,2,0.5),IF(OR(AJ10='Resultats Reals'!$C$29,AJ10='Resultats Reals'!$C$30,COUNTIF('Resultats Reals'!$E$2:$E$33,AJ10)&gt;0),1,0))+IF(AK10='Resultats Reals'!$C$34,IF(COUNTIF('Resultats Reals'!$E$2:$E$33,AK10)&gt;0,2,0.5),IF(OR(AK10='Resultats Reals'!$C$32,AK10='Resultats Reals'!$C$33,COUNTIF('Resultats Reals'!$E$2:$E$33,AK10)&gt;0),1,0))+IF(AL10='Resultats Reals'!$C$37,IF(COUNTIF('Resultats Reals'!$E$2:$E$33,AL10)&gt;0,2,0.5),IF(OR(AL10='Resultats Reals'!$C$35,AL10='Resultats Reals'!$C$36,COUNTIF('Resultats Reals'!$E$2:$E$33,AL10)&gt;0),1,0))</f>
        <v>10</v>
      </c>
      <c r="BX10">
        <f>IF(COUNTIF('Resultats Reals'!$F$2:$F$17,AM10)&gt;0,1,0)+IF(COUNTIF('Resultats Reals'!$F$2:$F$17,AN10)&gt;0,1,0)+IF(COUNTIF('Resultats Reals'!$F$2:$F$17,AO10)&gt;0,1,0)+IF(COUNTIF('Resultats Reals'!$F$2:$F$17,AP10)&gt;0,1,0)+IF(COUNTIF('Resultats Reals'!$F$2:$F$17,AQ10)&gt;0,1,0)+IF(COUNTIF('Resultats Reals'!$F$2:$F$17,AR10)&gt;0,1,0)+IF(COUNTIF('Resultats Reals'!$F$2:$F$17,AS10)&gt;0,1,0)+IF(COUNTIF('Resultats Reals'!$F$2:$F$17,AT10)&gt;0,1,0)+IF(COUNTIF('Resultats Reals'!$F$2:$F$17,AU10)&gt;0,1,0)+IF(COUNTIF('Resultats Reals'!$F$2:$F$17,AV10)&gt;0,1,0)+IF(COUNTIF('Resultats Reals'!$F$2:$F$17,AW10)&gt;0,1,0)+IF(COUNTIF('Resultats Reals'!$F$2:$F$17,AX10)&gt;0,1,0)+IF(COUNTIF('Resultats Reals'!$F$2:$F$17,AY10)&gt;0,1,0)+IF(COUNTIF('Resultats Reals'!$F$2:$F$17,AZ10)&gt;0,1,0)+IF(COUNTIF('Resultats Reals'!$F$2:$F$17,BA10)&gt;0,1,0)+IF(COUNTIF('Resultats Reals'!$F$2:$F$17,BB10)&gt;0,1,0)</f>
        <v>13</v>
      </c>
      <c r="BY10">
        <f>IF(COUNTIF('Resultats Reals'!$G$2:$G$9,BC10)&gt;0,1,0)+IF(COUNTIF('Resultats Reals'!$G$2:$G$9,BD10)&gt;0,1,0)+IF(COUNTIF('Resultats Reals'!$G$2:$G$9,BE10)&gt;0,1,0)+IF(COUNTIF('Resultats Reals'!$G$2:$G$9,BF10)&gt;0,1,0)+IF(COUNTIF('Resultats Reals'!$G$2:$G$9,BG10)&gt;0,1,0)+IF(COUNTIF('Resultats Reals'!$G$2:$G$9,BH10)&gt;0,1,0)+IF(COUNTIF('Resultats Reals'!$G$2:$G$9,BI10)&gt;0,1,0)+IF(COUNTIF('Resultats Reals'!$G$2:$G$9,BJ10)&gt;0,1,0)</f>
        <v>5</v>
      </c>
      <c r="BZ10">
        <f>IF(COUNTIF('Resultats Reals'!$H$2:$H$5,BK10)&gt;0,1,0)+IF(COUNTIF('Resultats Reals'!$H$2:$H$5,BL10)&gt;0,1,0)+IF(COUNTIF('Resultats Reals'!$H$2:$H$5,BM10)&gt;0,1,0)+IF(COUNTIF('Resultats Reals'!$H$2:$H$5,BN10)&gt;0,1,0)</f>
        <v>2</v>
      </c>
      <c r="CA10">
        <f>IF(COUNTIF('Resultats Reals'!$I$2:$I$3,BO10)&gt;0,3,0)+IF(COUNTIF('Resultats Reals'!$I$2:$I$3,BP10)&gt;0,3,0)</f>
        <v>0</v>
      </c>
      <c r="CB10">
        <f>IF(BQ10='Resultats Reals'!$J$2,5,0)</f>
        <v>0</v>
      </c>
      <c r="CC10">
        <f>IF(BS10='Resultats Reals'!$K$2,5,0)</f>
        <v>0</v>
      </c>
      <c r="CD10">
        <f>IFERROR(VLOOKUP(BT10,'Resultats Reals'!$N$2:$O$100,2,FALSE),0)</f>
        <v>8</v>
      </c>
      <c r="CE10">
        <f>IF(BR10='Resultats Reals'!$L$2,5,0)</f>
        <v>0</v>
      </c>
      <c r="CF10" s="7">
        <f t="shared" si="0"/>
        <v>77</v>
      </c>
    </row>
    <row r="11" spans="1:84" x14ac:dyDescent="0.25">
      <c r="A11" t="s">
        <v>209</v>
      </c>
      <c r="B11" t="s">
        <v>85</v>
      </c>
      <c r="C11" t="s">
        <v>86</v>
      </c>
      <c r="D11" t="s">
        <v>87</v>
      </c>
      <c r="E11" t="s">
        <v>88</v>
      </c>
      <c r="F11" t="s">
        <v>89</v>
      </c>
      <c r="G11" t="s">
        <v>90</v>
      </c>
      <c r="H11" t="s">
        <v>91</v>
      </c>
      <c r="I11" t="s">
        <v>92</v>
      </c>
      <c r="J11" t="s">
        <v>93</v>
      </c>
      <c r="K11" t="s">
        <v>94</v>
      </c>
      <c r="L11" t="s">
        <v>95</v>
      </c>
      <c r="M11" t="s">
        <v>96</v>
      </c>
      <c r="N11" t="s">
        <v>97</v>
      </c>
      <c r="O11" t="s">
        <v>110</v>
      </c>
      <c r="P11" t="s">
        <v>99</v>
      </c>
      <c r="Q11" t="s">
        <v>100</v>
      </c>
      <c r="R11" t="s">
        <v>101</v>
      </c>
      <c r="S11" t="s">
        <v>113</v>
      </c>
      <c r="T11" t="s">
        <v>114</v>
      </c>
      <c r="U11" t="s">
        <v>104</v>
      </c>
      <c r="V11" t="s">
        <v>105</v>
      </c>
      <c r="W11" t="s">
        <v>117</v>
      </c>
      <c r="X11" t="s">
        <v>107</v>
      </c>
      <c r="Y11" t="s">
        <v>108</v>
      </c>
      <c r="Z11" t="s">
        <v>109</v>
      </c>
      <c r="AA11" t="s">
        <v>98</v>
      </c>
      <c r="AB11" t="s">
        <v>245</v>
      </c>
      <c r="AC11" t="s">
        <v>111</v>
      </c>
      <c r="AD11" t="s">
        <v>112</v>
      </c>
      <c r="AE11" t="s">
        <v>102</v>
      </c>
      <c r="AF11" t="s">
        <v>103</v>
      </c>
      <c r="AG11" t="s">
        <v>115</v>
      </c>
      <c r="AH11" t="s">
        <v>142</v>
      </c>
      <c r="AI11" t="s">
        <v>106</v>
      </c>
      <c r="AJ11" t="s">
        <v>118</v>
      </c>
      <c r="AK11" t="s">
        <v>127</v>
      </c>
      <c r="AL11" t="s">
        <v>120</v>
      </c>
      <c r="AM11" t="s">
        <v>90</v>
      </c>
      <c r="AN11" t="s">
        <v>94</v>
      </c>
      <c r="AO11" t="s">
        <v>86</v>
      </c>
      <c r="AP11" t="s">
        <v>100</v>
      </c>
      <c r="AQ11" t="s">
        <v>109</v>
      </c>
      <c r="AR11" t="s">
        <v>93</v>
      </c>
      <c r="AS11" t="s">
        <v>103</v>
      </c>
      <c r="AT11" t="s">
        <v>92</v>
      </c>
      <c r="AU11" t="s">
        <v>88</v>
      </c>
      <c r="AV11" t="s">
        <v>117</v>
      </c>
      <c r="AW11" t="s">
        <v>89</v>
      </c>
      <c r="AX11" t="s">
        <v>97</v>
      </c>
      <c r="AY11" t="s">
        <v>95</v>
      </c>
      <c r="AZ11" t="s">
        <v>101</v>
      </c>
      <c r="BA11" t="s">
        <v>87</v>
      </c>
      <c r="BB11" t="s">
        <v>96</v>
      </c>
      <c r="BC11" t="s">
        <v>94</v>
      </c>
      <c r="BD11" t="s">
        <v>100</v>
      </c>
      <c r="BE11" t="s">
        <v>93</v>
      </c>
      <c r="BF11" t="s">
        <v>92</v>
      </c>
      <c r="BG11" t="s">
        <v>88</v>
      </c>
      <c r="BH11" t="s">
        <v>97</v>
      </c>
      <c r="BI11" t="s">
        <v>95</v>
      </c>
      <c r="BJ11" t="s">
        <v>96</v>
      </c>
      <c r="BK11" t="s">
        <v>94</v>
      </c>
      <c r="BL11" t="s">
        <v>93</v>
      </c>
      <c r="BM11" t="s">
        <v>88</v>
      </c>
      <c r="BN11" t="s">
        <v>95</v>
      </c>
      <c r="BO11" t="s">
        <v>94</v>
      </c>
      <c r="BP11" t="s">
        <v>93</v>
      </c>
      <c r="BQ11" t="s">
        <v>93</v>
      </c>
      <c r="BR11" s="6" t="s">
        <v>210</v>
      </c>
      <c r="BS11" t="s">
        <v>121</v>
      </c>
      <c r="BT11" t="s">
        <v>211</v>
      </c>
      <c r="BU11">
        <f>IF(C11='Resultats Reals'!$C$2,2,IF(OR(C11='Resultats Reals'!$C$3,COUNTIF('Resultats Reals'!$E$2:$E$33,C11)&gt;0),1,0))+IF(D11='Resultats Reals'!$C$5,2,IF(OR(D11='Resultats Reals'!$C$6,COUNTIF('Resultats Reals'!$E$2:$E$33,D11)&gt;0),1,0))+IF(E11='Resultats Reals'!$C$8,2,IF(OR(E11='Resultats Reals'!$C$9,COUNTIF('Resultats Reals'!$E$2:$E$33,E11)&gt;0),1,0))+IF(F11='Resultats Reals'!$C$11,2,IF(OR(F11='Resultats Reals'!$C$12,COUNTIF('Resultats Reals'!$E$2:$E$33,F11)&gt;0),1,0))+IF(G11='Resultats Reals'!$C$14,2,IF(OR(G11='Resultats Reals'!$C$15,COUNTIF('Resultats Reals'!$E$2:$E$33,G11)&gt;0),1,0))+IF(H11='Resultats Reals'!$C$17,2,IF(OR(H11='Resultats Reals'!$C$18,COUNTIF('Resultats Reals'!$E$2:$E$33,H11)&gt;0),1,0))+IF(I11='Resultats Reals'!$C$20,2,IF(OR(I11='Resultats Reals'!$C$21,COUNTIF('Resultats Reals'!$E$2:$E$33,I11)&gt;0),1,0))+IF(J11='Resultats Reals'!$C$23,2,IF(OR(J11='Resultats Reals'!$C$24,COUNTIF('Resultats Reals'!$E$2:$E$33,J11)&gt;0),1,0))+IF(K11='Resultats Reals'!$C$26,2,IF(OR(K11='Resultats Reals'!$C$27,COUNTIF('Resultats Reals'!$E$2:$E$33,K11)&gt;0),1,0))+IF(L11='Resultats Reals'!$C$29,2,IF(OR(L11='Resultats Reals'!$C$30,COUNTIF('Resultats Reals'!$E$2:$E$33,L11)&gt;0),1,0))+IF(M11='Resultats Reals'!$C$32,2,IF(OR(M11='Resultats Reals'!$C$33,COUNTIF('Resultats Reals'!$E$2:$E$33,M11)&gt;0),1,0))+IF(N11='Resultats Reals'!$C$35,2,IF(OR(N11='Resultats Reals'!$C$36,COUNTIF('Resultats Reals'!$E$2:$E$33,N11)&gt;0),1,0))</f>
        <v>23</v>
      </c>
      <c r="BV11">
        <f>IF(O11='Resultats Reals'!$C$3,2,IF(OR(O11='Resultats Reals'!$C$2,COUNTIF('Resultats Reals'!$E$2:$E$33,O11)&gt;0),1,0))+IF(P11='Resultats Reals'!$C$6,2,IF(OR(P11='Resultats Reals'!$C$5,COUNTIF('Resultats Reals'!$E$2:$E$33,P11)&gt;0),1,0))+IF(Q11='Resultats Reals'!$C$9,2,IF(OR(Q11='Resultats Reals'!$C$8,COUNTIF('Resultats Reals'!$E$2:$E$33,Q11)&gt;0),1,0))+IF(R11='Resultats Reals'!$C$12,2,IF(OR(R11='Resultats Reals'!$C$11,COUNTIF('Resultats Reals'!$E$2:$E$33,R11)&gt;0),1,0))+IF(S11='Resultats Reals'!$C$15,2,IF(OR(S11='Resultats Reals'!$C$14,COUNTIF('Resultats Reals'!$E$2:$E$33,S11)&gt;0),1,0))+IF(T11='Resultats Reals'!$C$18,2,IF(OR(T11='Resultats Reals'!$C$17,COUNTIF('Resultats Reals'!$E$2:$E$33,T11)&gt;0),1,0))+IF(U11='Resultats Reals'!$C$21,2,IF(OR(U11='Resultats Reals'!$C$20,COUNTIF('Resultats Reals'!$E$2:$E$33,U11)&gt;0),1,0))+IF(V11='Resultats Reals'!$C$24,2,IF(OR(V11='Resultats Reals'!$C$23,COUNTIF('Resultats Reals'!$E$2:$E$33,V11)&gt;0),1,0))+IF(W11='Resultats Reals'!$C$27,2,IF(OR(W11='Resultats Reals'!$C$26,COUNTIF('Resultats Reals'!$E$2:$E$33,W11)&gt;0),1,0))+IF(X11='Resultats Reals'!$C$30,2,IF(OR(X11='Resultats Reals'!$C$29,COUNTIF('Resultats Reals'!$E$2:$E$33,X11)&gt;0),1,0))+IF(Y11='Resultats Reals'!$C$33,2,IF(OR(Y11='Resultats Reals'!$C$32,COUNTIF('Resultats Reals'!$E$2:$E$33,Y11)&gt;0),1,0))+IF(Z11='Resultats Reals'!$C$36,2,IF(OR(Z11='Resultats Reals'!$C$35,COUNTIF('Resultats Reals'!$E$2:$E$33,Z11)&gt;0),1,0))</f>
        <v>17</v>
      </c>
      <c r="BW11">
        <f>IF(AA11='Resultats Reals'!$C$4,IF(COUNTIF('Resultats Reals'!$E$2:$E$33,AA11)&gt;0,2,0.5),IF(OR(AA11='Resultats Reals'!$C$2,AA11='Resultats Reals'!$C$3,COUNTIF('Resultats Reals'!$E$2:$E$33,AA11)&gt;0),1,0))+IF(AB11='Resultats Reals'!$C$7,IF(COUNTIF('Resultats Reals'!$E$2:$E$33,AB11)&gt;0,2,0.5),IF(OR(AB11='Resultats Reals'!$C$5,AB11='Resultats Reals'!$C$6,COUNTIF('Resultats Reals'!$E$2:$E$33,AB11)&gt;0),1,0))+IF(AC11='Resultats Reals'!$C$10,IF(COUNTIF('Resultats Reals'!$E$2:$E$33,AC11)&gt;0,2,0.5),IF(OR(AC11='Resultats Reals'!$C$8,AC11='Resultats Reals'!$C$9,COUNTIF('Resultats Reals'!$E$2:$E$33,AC11)&gt;0),1,0))+IF(AD11='Resultats Reals'!$C$13,IF(COUNTIF('Resultats Reals'!$E$2:$E$33,AD11)&gt;0,2,0.5),IF(OR(AD11='Resultats Reals'!$C$11,AD11='Resultats Reals'!$C$12,COUNTIF('Resultats Reals'!$E$2:$E$33,AD11)&gt;0),1,0))+IF(AE11='Resultats Reals'!$C$16,IF(COUNTIF('Resultats Reals'!$E$2:$E$33,AE11)&gt;0,2,0.5),IF(OR(AE11='Resultats Reals'!$C$14,AE11='Resultats Reals'!$C$15,COUNTIF('Resultats Reals'!$E$2:$E$33,AE11)&gt;0),1,0))+IF(AF11='Resultats Reals'!$C$19,IF(COUNTIF('Resultats Reals'!$E$2:$E$33,AF11)&gt;0,2,0.5),IF(OR(AF11='Resultats Reals'!$C$17,AF11='Resultats Reals'!$C$18,COUNTIF('Resultats Reals'!$E$2:$E$33,AF11)&gt;0),1,0))+IF(AG11='Resultats Reals'!$C$22,IF(COUNTIF('Resultats Reals'!$E$2:$E$33,AG11)&gt;0,2,0.5),IF(OR(AG11='Resultats Reals'!$C$20,AG11='Resultats Reals'!$C$21,COUNTIF('Resultats Reals'!$E$2:$E$33,AG11)&gt;0),1,0))+IF(AH11='Resultats Reals'!$C$25,IF(COUNTIF('Resultats Reals'!$E$2:$E$33,AH11)&gt;0,2,0.5),IF(OR(AH11='Resultats Reals'!$C$23,AH11='Resultats Reals'!$C$24,COUNTIF('Resultats Reals'!$E$2:$E$33,AH11)&gt;0),1,0))+IF(AI11='Resultats Reals'!$C$28,IF(COUNTIF('Resultats Reals'!$E$2:$E$33,AI11)&gt;0,2,0.5),IF(OR(AI11='Resultats Reals'!$C$26,AI11='Resultats Reals'!$C$27,COUNTIF('Resultats Reals'!$E$2:$E$33,AI11)&gt;0),1,0))+IF(AJ11='Resultats Reals'!$C$31,IF(COUNTIF('Resultats Reals'!$E$2:$E$33,AJ11)&gt;0,2,0.5),IF(OR(AJ11='Resultats Reals'!$C$29,AJ11='Resultats Reals'!$C$30,COUNTIF('Resultats Reals'!$E$2:$E$33,AJ11)&gt;0),1,0))+IF(AK11='Resultats Reals'!$C$34,IF(COUNTIF('Resultats Reals'!$E$2:$E$33,AK11)&gt;0,2,0.5),IF(OR(AK11='Resultats Reals'!$C$32,AK11='Resultats Reals'!$C$33,COUNTIF('Resultats Reals'!$E$2:$E$33,AK11)&gt;0),1,0))+IF(AL11='Resultats Reals'!$C$37,IF(COUNTIF('Resultats Reals'!$E$2:$E$33,AL11)&gt;0,2,0.5),IF(OR(AL11='Resultats Reals'!$C$35,AL11='Resultats Reals'!$C$36,COUNTIF('Resultats Reals'!$E$2:$E$33,AL11)&gt;0),1,0))</f>
        <v>18.5</v>
      </c>
      <c r="BX11">
        <f>IF(COUNTIF('Resultats Reals'!$F$2:$F$17,AM11)&gt;0,1,0)+IF(COUNTIF('Resultats Reals'!$F$2:$F$17,AN11)&gt;0,1,0)+IF(COUNTIF('Resultats Reals'!$F$2:$F$17,AO11)&gt;0,1,0)+IF(COUNTIF('Resultats Reals'!$F$2:$F$17,AP11)&gt;0,1,0)+IF(COUNTIF('Resultats Reals'!$F$2:$F$17,AQ11)&gt;0,1,0)+IF(COUNTIF('Resultats Reals'!$F$2:$F$17,AR11)&gt;0,1,0)+IF(COUNTIF('Resultats Reals'!$F$2:$F$17,AS11)&gt;0,1,0)+IF(COUNTIF('Resultats Reals'!$F$2:$F$17,AT11)&gt;0,1,0)+IF(COUNTIF('Resultats Reals'!$F$2:$F$17,AU11)&gt;0,1,0)+IF(COUNTIF('Resultats Reals'!$F$2:$F$17,AV11)&gt;0,1,0)+IF(COUNTIF('Resultats Reals'!$F$2:$F$17,AW11)&gt;0,1,0)+IF(COUNTIF('Resultats Reals'!$F$2:$F$17,AX11)&gt;0,1,0)+IF(COUNTIF('Resultats Reals'!$F$2:$F$17,AY11)&gt;0,1,0)+IF(COUNTIF('Resultats Reals'!$F$2:$F$17,AZ11)&gt;0,1,0)+IF(COUNTIF('Resultats Reals'!$F$2:$F$17,BA11)&gt;0,1,0)+IF(COUNTIF('Resultats Reals'!$F$2:$F$17,BB11)&gt;0,1,0)</f>
        <v>12</v>
      </c>
      <c r="BY11">
        <f>IF(COUNTIF('Resultats Reals'!$G$2:$G$9,BC11)&gt;0,1,0)+IF(COUNTIF('Resultats Reals'!$G$2:$G$9,BD11)&gt;0,1,0)+IF(COUNTIF('Resultats Reals'!$G$2:$G$9,BE11)&gt;0,1,0)+IF(COUNTIF('Resultats Reals'!$G$2:$G$9,BF11)&gt;0,1,0)+IF(COUNTIF('Resultats Reals'!$G$2:$G$9,BG11)&gt;0,1,0)+IF(COUNTIF('Resultats Reals'!$G$2:$G$9,BH11)&gt;0,1,0)+IF(COUNTIF('Resultats Reals'!$G$2:$G$9,BI11)&gt;0,1,0)+IF(COUNTIF('Resultats Reals'!$G$2:$G$9,BJ11)&gt;0,1,0)</f>
        <v>6</v>
      </c>
      <c r="BZ11">
        <f>IF(COUNTIF('Resultats Reals'!$H$2:$H$5,BK11)&gt;0,1,0)+IF(COUNTIF('Resultats Reals'!$H$2:$H$5,BL11)&gt;0,1,0)+IF(COUNTIF('Resultats Reals'!$H$2:$H$5,BM11)&gt;0,1,0)+IF(COUNTIF('Resultats Reals'!$H$2:$H$5,BN11)&gt;0,1,0)</f>
        <v>3</v>
      </c>
      <c r="CA11">
        <f>IF(COUNTIF('Resultats Reals'!$I$2:$I$3,BO11)&gt;0,3,0)+IF(COUNTIF('Resultats Reals'!$I$2:$I$3,BP11)&gt;0,3,0)</f>
        <v>0</v>
      </c>
      <c r="CB11">
        <f>IF(BQ11='Resultats Reals'!$J$2,5,0)</f>
        <v>0</v>
      </c>
      <c r="CC11">
        <f>IF(BS11='Resultats Reals'!$K$2,5,0)</f>
        <v>0</v>
      </c>
      <c r="CD11">
        <f>IFERROR(VLOOKUP(BT11,'Resultats Reals'!$N$2:$O$100,2,FALSE),0)</f>
        <v>0</v>
      </c>
      <c r="CE11">
        <f>IF(BR11='Resultats Reals'!$L$2,5,0)</f>
        <v>0</v>
      </c>
      <c r="CF11" s="7">
        <f t="shared" si="0"/>
        <v>79.5</v>
      </c>
    </row>
    <row r="12" spans="1:84" x14ac:dyDescent="0.25">
      <c r="A12" t="s">
        <v>188</v>
      </c>
      <c r="B12" t="s">
        <v>147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  <c r="I12" t="s">
        <v>92</v>
      </c>
      <c r="J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98</v>
      </c>
      <c r="P12" t="s">
        <v>99</v>
      </c>
      <c r="Q12" t="s">
        <v>100</v>
      </c>
      <c r="R12" t="s">
        <v>101</v>
      </c>
      <c r="S12" t="s">
        <v>102</v>
      </c>
      <c r="T12" t="s">
        <v>114</v>
      </c>
      <c r="U12" t="s">
        <v>104</v>
      </c>
      <c r="V12" t="s">
        <v>105</v>
      </c>
      <c r="W12" t="s">
        <v>117</v>
      </c>
      <c r="X12" t="s">
        <v>107</v>
      </c>
      <c r="Y12" t="s">
        <v>108</v>
      </c>
      <c r="Z12" t="s">
        <v>144</v>
      </c>
      <c r="AA12" t="s">
        <v>130</v>
      </c>
      <c r="AB12" t="s">
        <v>125</v>
      </c>
      <c r="AC12" t="s">
        <v>111</v>
      </c>
      <c r="AD12" t="s">
        <v>112</v>
      </c>
      <c r="AE12" t="s">
        <v>113</v>
      </c>
      <c r="AF12" t="s">
        <v>103</v>
      </c>
      <c r="AG12" t="s">
        <v>138</v>
      </c>
      <c r="AH12" t="s">
        <v>116</v>
      </c>
      <c r="AI12" t="s">
        <v>106</v>
      </c>
      <c r="AJ12" t="s">
        <v>118</v>
      </c>
      <c r="AK12" t="s">
        <v>127</v>
      </c>
      <c r="AL12" t="s">
        <v>109</v>
      </c>
      <c r="AM12" t="s">
        <v>86</v>
      </c>
      <c r="AN12" t="s">
        <v>88</v>
      </c>
      <c r="AO12" t="s">
        <v>101</v>
      </c>
      <c r="AP12" t="s">
        <v>90</v>
      </c>
      <c r="AQ12" t="s">
        <v>91</v>
      </c>
      <c r="AR12" t="s">
        <v>93</v>
      </c>
      <c r="AS12" t="s">
        <v>105</v>
      </c>
      <c r="AT12" t="s">
        <v>94</v>
      </c>
      <c r="AU12" t="s">
        <v>117</v>
      </c>
      <c r="AV12" t="s">
        <v>95</v>
      </c>
      <c r="AW12" t="s">
        <v>96</v>
      </c>
      <c r="AX12" t="s">
        <v>108</v>
      </c>
      <c r="AY12" t="s">
        <v>97</v>
      </c>
      <c r="AZ12" t="s">
        <v>100</v>
      </c>
      <c r="BA12" t="s">
        <v>109</v>
      </c>
      <c r="BB12" t="s">
        <v>89</v>
      </c>
      <c r="BC12" t="s">
        <v>88</v>
      </c>
      <c r="BD12" t="s">
        <v>90</v>
      </c>
      <c r="BE12" t="s">
        <v>93</v>
      </c>
      <c r="BF12" t="s">
        <v>95</v>
      </c>
      <c r="BG12" t="s">
        <v>94</v>
      </c>
      <c r="BH12" t="s">
        <v>96</v>
      </c>
      <c r="BI12" t="s">
        <v>97</v>
      </c>
      <c r="BJ12" t="s">
        <v>105</v>
      </c>
      <c r="BK12" t="s">
        <v>95</v>
      </c>
      <c r="BL12" t="s">
        <v>96</v>
      </c>
      <c r="BM12" t="s">
        <v>93</v>
      </c>
      <c r="BN12" t="s">
        <v>97</v>
      </c>
      <c r="BO12" t="s">
        <v>93</v>
      </c>
      <c r="BP12" t="s">
        <v>95</v>
      </c>
      <c r="BQ12" t="s">
        <v>95</v>
      </c>
      <c r="BR12" s="6" t="s">
        <v>189</v>
      </c>
      <c r="BS12" t="s">
        <v>154</v>
      </c>
      <c r="BT12" t="s">
        <v>128</v>
      </c>
      <c r="BU12">
        <f>IF(C12='Resultats Reals'!$C$2,2,IF(OR(C12='Resultats Reals'!$C$3,COUNTIF('Resultats Reals'!$E$2:$E$33,C12)&gt;0),1,0))+IF(D12='Resultats Reals'!$C$5,2,IF(OR(D12='Resultats Reals'!$C$6,COUNTIF('Resultats Reals'!$E$2:$E$33,D12)&gt;0),1,0))+IF(E12='Resultats Reals'!$C$8,2,IF(OR(E12='Resultats Reals'!$C$9,COUNTIF('Resultats Reals'!$E$2:$E$33,E12)&gt;0),1,0))+IF(F12='Resultats Reals'!$C$11,2,IF(OR(F12='Resultats Reals'!$C$12,COUNTIF('Resultats Reals'!$E$2:$E$33,F12)&gt;0),1,0))+IF(G12='Resultats Reals'!$C$14,2,IF(OR(G12='Resultats Reals'!$C$15,COUNTIF('Resultats Reals'!$E$2:$E$33,G12)&gt;0),1,0))+IF(H12='Resultats Reals'!$C$17,2,IF(OR(H12='Resultats Reals'!$C$18,COUNTIF('Resultats Reals'!$E$2:$E$33,H12)&gt;0),1,0))+IF(I12='Resultats Reals'!$C$20,2,IF(OR(I12='Resultats Reals'!$C$21,COUNTIF('Resultats Reals'!$E$2:$E$33,I12)&gt;0),1,0))+IF(J12='Resultats Reals'!$C$23,2,IF(OR(J12='Resultats Reals'!$C$24,COUNTIF('Resultats Reals'!$E$2:$E$33,J12)&gt;0),1,0))+IF(K12='Resultats Reals'!$C$26,2,IF(OR(K12='Resultats Reals'!$C$27,COUNTIF('Resultats Reals'!$E$2:$E$33,K12)&gt;0),1,0))+IF(L12='Resultats Reals'!$C$29,2,IF(OR(L12='Resultats Reals'!$C$30,COUNTIF('Resultats Reals'!$E$2:$E$33,L12)&gt;0),1,0))+IF(M12='Resultats Reals'!$C$32,2,IF(OR(M12='Resultats Reals'!$C$33,COUNTIF('Resultats Reals'!$E$2:$E$33,M12)&gt;0),1,0))+IF(N12='Resultats Reals'!$C$35,2,IF(OR(N12='Resultats Reals'!$C$36,COUNTIF('Resultats Reals'!$E$2:$E$33,N12)&gt;0),1,0))</f>
        <v>23</v>
      </c>
      <c r="BV12">
        <f>IF(O12='Resultats Reals'!$C$3,2,IF(OR(O12='Resultats Reals'!$C$2,COUNTIF('Resultats Reals'!$E$2:$E$33,O12)&gt;0),1,0))+IF(P12='Resultats Reals'!$C$6,2,IF(OR(P12='Resultats Reals'!$C$5,COUNTIF('Resultats Reals'!$E$2:$E$33,P12)&gt;0),1,0))+IF(Q12='Resultats Reals'!$C$9,2,IF(OR(Q12='Resultats Reals'!$C$8,COUNTIF('Resultats Reals'!$E$2:$E$33,Q12)&gt;0),1,0))+IF(R12='Resultats Reals'!$C$12,2,IF(OR(R12='Resultats Reals'!$C$11,COUNTIF('Resultats Reals'!$E$2:$E$33,R12)&gt;0),1,0))+IF(S12='Resultats Reals'!$C$15,2,IF(OR(S12='Resultats Reals'!$C$14,COUNTIF('Resultats Reals'!$E$2:$E$33,S12)&gt;0),1,0))+IF(T12='Resultats Reals'!$C$18,2,IF(OR(T12='Resultats Reals'!$C$17,COUNTIF('Resultats Reals'!$E$2:$E$33,T12)&gt;0),1,0))+IF(U12='Resultats Reals'!$C$21,2,IF(OR(U12='Resultats Reals'!$C$20,COUNTIF('Resultats Reals'!$E$2:$E$33,U12)&gt;0),1,0))+IF(V12='Resultats Reals'!$C$24,2,IF(OR(V12='Resultats Reals'!$C$23,COUNTIF('Resultats Reals'!$E$2:$E$33,V12)&gt;0),1,0))+IF(W12='Resultats Reals'!$C$27,2,IF(OR(W12='Resultats Reals'!$C$26,COUNTIF('Resultats Reals'!$E$2:$E$33,W12)&gt;0),1,0))+IF(X12='Resultats Reals'!$C$30,2,IF(OR(X12='Resultats Reals'!$C$29,COUNTIF('Resultats Reals'!$E$2:$E$33,X12)&gt;0),1,0))+IF(Y12='Resultats Reals'!$C$33,2,IF(OR(Y12='Resultats Reals'!$C$32,COUNTIF('Resultats Reals'!$E$2:$E$33,Y12)&gt;0),1,0))+IF(Z12='Resultats Reals'!$C$36,2,IF(OR(Z12='Resultats Reals'!$C$35,COUNTIF('Resultats Reals'!$E$2:$E$33,Z12)&gt;0),1,0))</f>
        <v>14</v>
      </c>
      <c r="BW12">
        <f>IF(AA12='Resultats Reals'!$C$4,IF(COUNTIF('Resultats Reals'!$E$2:$E$33,AA12)&gt;0,2,0.5),IF(OR(AA12='Resultats Reals'!$C$2,AA12='Resultats Reals'!$C$3,COUNTIF('Resultats Reals'!$E$2:$E$33,AA12)&gt;0),1,0))+IF(AB12='Resultats Reals'!$C$7,IF(COUNTIF('Resultats Reals'!$E$2:$E$33,AB12)&gt;0,2,0.5),IF(OR(AB12='Resultats Reals'!$C$5,AB12='Resultats Reals'!$C$6,COUNTIF('Resultats Reals'!$E$2:$E$33,AB12)&gt;0),1,0))+IF(AC12='Resultats Reals'!$C$10,IF(COUNTIF('Resultats Reals'!$E$2:$E$33,AC12)&gt;0,2,0.5),IF(OR(AC12='Resultats Reals'!$C$8,AC12='Resultats Reals'!$C$9,COUNTIF('Resultats Reals'!$E$2:$E$33,AC12)&gt;0),1,0))+IF(AD12='Resultats Reals'!$C$13,IF(COUNTIF('Resultats Reals'!$E$2:$E$33,AD12)&gt;0,2,0.5),IF(OR(AD12='Resultats Reals'!$C$11,AD12='Resultats Reals'!$C$12,COUNTIF('Resultats Reals'!$E$2:$E$33,AD12)&gt;0),1,0))+IF(AE12='Resultats Reals'!$C$16,IF(COUNTIF('Resultats Reals'!$E$2:$E$33,AE12)&gt;0,2,0.5),IF(OR(AE12='Resultats Reals'!$C$14,AE12='Resultats Reals'!$C$15,COUNTIF('Resultats Reals'!$E$2:$E$33,AE12)&gt;0),1,0))+IF(AF12='Resultats Reals'!$C$19,IF(COUNTIF('Resultats Reals'!$E$2:$E$33,AF12)&gt;0,2,0.5),IF(OR(AF12='Resultats Reals'!$C$17,AF12='Resultats Reals'!$C$18,COUNTIF('Resultats Reals'!$E$2:$E$33,AF12)&gt;0),1,0))+IF(AG12='Resultats Reals'!$C$22,IF(COUNTIF('Resultats Reals'!$E$2:$E$33,AG12)&gt;0,2,0.5),IF(OR(AG12='Resultats Reals'!$C$20,AG12='Resultats Reals'!$C$21,COUNTIF('Resultats Reals'!$E$2:$E$33,AG12)&gt;0),1,0))+IF(AH12='Resultats Reals'!$C$25,IF(COUNTIF('Resultats Reals'!$E$2:$E$33,AH12)&gt;0,2,0.5),IF(OR(AH12='Resultats Reals'!$C$23,AH12='Resultats Reals'!$C$24,COUNTIF('Resultats Reals'!$E$2:$E$33,AH12)&gt;0),1,0))+IF(AI12='Resultats Reals'!$C$28,IF(COUNTIF('Resultats Reals'!$E$2:$E$33,AI12)&gt;0,2,0.5),IF(OR(AI12='Resultats Reals'!$C$26,AI12='Resultats Reals'!$C$27,COUNTIF('Resultats Reals'!$E$2:$E$33,AI12)&gt;0),1,0))+IF(AJ12='Resultats Reals'!$C$31,IF(COUNTIF('Resultats Reals'!$E$2:$E$33,AJ12)&gt;0,2,0.5),IF(OR(AJ12='Resultats Reals'!$C$29,AJ12='Resultats Reals'!$C$30,COUNTIF('Resultats Reals'!$E$2:$E$33,AJ12)&gt;0),1,0))+IF(AK12='Resultats Reals'!$C$34,IF(COUNTIF('Resultats Reals'!$E$2:$E$33,AK12)&gt;0,2,0.5),IF(OR(AK12='Resultats Reals'!$C$32,AK12='Resultats Reals'!$C$33,COUNTIF('Resultats Reals'!$E$2:$E$33,AK12)&gt;0),1,0))+IF(AL12='Resultats Reals'!$C$37,IF(COUNTIF('Resultats Reals'!$E$2:$E$33,AL12)&gt;0,2,0.5),IF(OR(AL12='Resultats Reals'!$C$35,AL12='Resultats Reals'!$C$36,COUNTIF('Resultats Reals'!$E$2:$E$33,AL12)&gt;0),1,0))</f>
        <v>13.5</v>
      </c>
      <c r="BX12">
        <f>IF(COUNTIF('Resultats Reals'!$F$2:$F$17,AM12)&gt;0,1,0)+IF(COUNTIF('Resultats Reals'!$F$2:$F$17,AN12)&gt;0,1,0)+IF(COUNTIF('Resultats Reals'!$F$2:$F$17,AO12)&gt;0,1,0)+IF(COUNTIF('Resultats Reals'!$F$2:$F$17,AP12)&gt;0,1,0)+IF(COUNTIF('Resultats Reals'!$F$2:$F$17,AQ12)&gt;0,1,0)+IF(COUNTIF('Resultats Reals'!$F$2:$F$17,AR12)&gt;0,1,0)+IF(COUNTIF('Resultats Reals'!$F$2:$F$17,AS12)&gt;0,1,0)+IF(COUNTIF('Resultats Reals'!$F$2:$F$17,AT12)&gt;0,1,0)+IF(COUNTIF('Resultats Reals'!$F$2:$F$17,AU12)&gt;0,1,0)+IF(COUNTIF('Resultats Reals'!$F$2:$F$17,AV12)&gt;0,1,0)+IF(COUNTIF('Resultats Reals'!$F$2:$F$17,AW12)&gt;0,1,0)+IF(COUNTIF('Resultats Reals'!$F$2:$F$17,AX12)&gt;0,1,0)+IF(COUNTIF('Resultats Reals'!$F$2:$F$17,AY12)&gt;0,1,0)+IF(COUNTIF('Resultats Reals'!$F$2:$F$17,AZ12)&gt;0,1,0)+IF(COUNTIF('Resultats Reals'!$F$2:$F$17,BA12)&gt;0,1,0)+IF(COUNTIF('Resultats Reals'!$F$2:$F$17,BB12)&gt;0,1,0)</f>
        <v>11</v>
      </c>
      <c r="BY12">
        <f>IF(COUNTIF('Resultats Reals'!$G$2:$G$9,BC12)&gt;0,1,0)+IF(COUNTIF('Resultats Reals'!$G$2:$G$9,BD12)&gt;0,1,0)+IF(COUNTIF('Resultats Reals'!$G$2:$G$9,BE12)&gt;0,1,0)+IF(COUNTIF('Resultats Reals'!$G$2:$G$9,BF12)&gt;0,1,0)+IF(COUNTIF('Resultats Reals'!$G$2:$G$9,BG12)&gt;0,1,0)+IF(COUNTIF('Resultats Reals'!$G$2:$G$9,BH12)&gt;0,1,0)+IF(COUNTIF('Resultats Reals'!$G$2:$G$9,BI12)&gt;0,1,0)+IF(COUNTIF('Resultats Reals'!$G$2:$G$9,BJ12)&gt;0,1,0)</f>
        <v>4</v>
      </c>
      <c r="BZ12">
        <f>IF(COUNTIF('Resultats Reals'!$H$2:$H$5,BK12)&gt;0,1,0)+IF(COUNTIF('Resultats Reals'!$H$2:$H$5,BL12)&gt;0,1,0)+IF(COUNTIF('Resultats Reals'!$H$2:$H$5,BM12)&gt;0,1,0)+IF(COUNTIF('Resultats Reals'!$H$2:$H$5,BN12)&gt;0,1,0)</f>
        <v>3</v>
      </c>
      <c r="CA12">
        <f>IF(COUNTIF('Resultats Reals'!$I$2:$I$3,BO12)&gt;0,3,0)+IF(COUNTIF('Resultats Reals'!$I$2:$I$3,BP12)&gt;0,3,0)</f>
        <v>0</v>
      </c>
      <c r="CB12">
        <f>IF(BQ12='Resultats Reals'!$J$2,5,0)</f>
        <v>0</v>
      </c>
      <c r="CC12">
        <f>IF(BS12='Resultats Reals'!$K$2,5,0)</f>
        <v>0</v>
      </c>
      <c r="CD12">
        <f>IFERROR(VLOOKUP(BT12,'Resultats Reals'!$N$2:$O$100,2,FALSE),0)</f>
        <v>8</v>
      </c>
      <c r="CE12">
        <f>IF(BR12='Resultats Reals'!$L$2,5,0)</f>
        <v>0</v>
      </c>
      <c r="CF12" s="7">
        <f t="shared" si="0"/>
        <v>76.5</v>
      </c>
    </row>
    <row r="13" spans="1:84" x14ac:dyDescent="0.25">
      <c r="A13" t="s">
        <v>156</v>
      </c>
      <c r="B13" t="s">
        <v>135</v>
      </c>
      <c r="C13" t="s">
        <v>86</v>
      </c>
      <c r="D13" t="s">
        <v>87</v>
      </c>
      <c r="E13" t="s">
        <v>88</v>
      </c>
      <c r="F13" t="s">
        <v>101</v>
      </c>
      <c r="G13" t="s">
        <v>90</v>
      </c>
      <c r="H13" t="s">
        <v>91</v>
      </c>
      <c r="I13" t="s">
        <v>92</v>
      </c>
      <c r="J13" t="s">
        <v>93</v>
      </c>
      <c r="K13" t="s">
        <v>94</v>
      </c>
      <c r="L13" t="s">
        <v>95</v>
      </c>
      <c r="M13" t="s">
        <v>108</v>
      </c>
      <c r="N13" t="s">
        <v>97</v>
      </c>
      <c r="O13" t="s">
        <v>98</v>
      </c>
      <c r="P13" t="s">
        <v>245</v>
      </c>
      <c r="Q13" t="s">
        <v>100</v>
      </c>
      <c r="R13" t="s">
        <v>89</v>
      </c>
      <c r="S13" t="s">
        <v>102</v>
      </c>
      <c r="T13" t="s">
        <v>114</v>
      </c>
      <c r="U13" t="s">
        <v>115</v>
      </c>
      <c r="V13" t="s">
        <v>105</v>
      </c>
      <c r="W13" t="s">
        <v>117</v>
      </c>
      <c r="X13" t="s">
        <v>107</v>
      </c>
      <c r="Y13" t="s">
        <v>96</v>
      </c>
      <c r="Z13" t="s">
        <v>109</v>
      </c>
      <c r="AA13" t="s">
        <v>110</v>
      </c>
      <c r="AB13" t="s">
        <v>99</v>
      </c>
      <c r="AC13" t="s">
        <v>111</v>
      </c>
      <c r="AD13" t="s">
        <v>112</v>
      </c>
      <c r="AE13" t="s">
        <v>113</v>
      </c>
      <c r="AF13" t="s">
        <v>103</v>
      </c>
      <c r="AG13" t="s">
        <v>104</v>
      </c>
      <c r="AH13" t="s">
        <v>116</v>
      </c>
      <c r="AI13" t="s">
        <v>106</v>
      </c>
      <c r="AJ13" t="s">
        <v>118</v>
      </c>
      <c r="AK13" t="s">
        <v>119</v>
      </c>
      <c r="AL13" t="s">
        <v>144</v>
      </c>
      <c r="AM13" t="s">
        <v>86</v>
      </c>
      <c r="AN13" t="s">
        <v>87</v>
      </c>
      <c r="AO13" t="s">
        <v>88</v>
      </c>
      <c r="AP13" t="s">
        <v>101</v>
      </c>
      <c r="AQ13" t="s">
        <v>90</v>
      </c>
      <c r="AR13" t="s">
        <v>91</v>
      </c>
      <c r="AS13" t="s">
        <v>92</v>
      </c>
      <c r="AT13" t="s">
        <v>93</v>
      </c>
      <c r="AU13" t="s">
        <v>94</v>
      </c>
      <c r="AV13" t="s">
        <v>95</v>
      </c>
      <c r="AW13" t="s">
        <v>108</v>
      </c>
      <c r="AX13" t="s">
        <v>97</v>
      </c>
      <c r="AY13" t="s">
        <v>96</v>
      </c>
      <c r="AZ13" t="s">
        <v>109</v>
      </c>
      <c r="BA13" t="s">
        <v>100</v>
      </c>
      <c r="BB13" t="s">
        <v>89</v>
      </c>
      <c r="BC13" t="s">
        <v>87</v>
      </c>
      <c r="BD13" t="s">
        <v>88</v>
      </c>
      <c r="BE13" t="s">
        <v>91</v>
      </c>
      <c r="BF13" t="s">
        <v>93</v>
      </c>
      <c r="BG13" t="s">
        <v>95</v>
      </c>
      <c r="BH13" t="s">
        <v>97</v>
      </c>
      <c r="BI13" t="s">
        <v>96</v>
      </c>
      <c r="BJ13" t="s">
        <v>100</v>
      </c>
      <c r="BK13" t="s">
        <v>88</v>
      </c>
      <c r="BL13" t="s">
        <v>93</v>
      </c>
      <c r="BM13" t="s">
        <v>95</v>
      </c>
      <c r="BN13" t="s">
        <v>100</v>
      </c>
      <c r="BO13" t="s">
        <v>93</v>
      </c>
      <c r="BP13" t="s">
        <v>95</v>
      </c>
      <c r="BQ13" t="s">
        <v>95</v>
      </c>
      <c r="BS13" t="s">
        <v>157</v>
      </c>
      <c r="BT13" t="s">
        <v>145</v>
      </c>
      <c r="BU13">
        <f>IF(C13='Resultats Reals'!$C$2,2,IF(OR(C13='Resultats Reals'!$C$3,COUNTIF('Resultats Reals'!$E$2:$E$33,C13)&gt;0),1,0))+IF(D13='Resultats Reals'!$C$5,2,IF(OR(D13='Resultats Reals'!$C$6,COUNTIF('Resultats Reals'!$E$2:$E$33,D13)&gt;0),1,0))+IF(E13='Resultats Reals'!$C$8,2,IF(OR(E13='Resultats Reals'!$C$9,COUNTIF('Resultats Reals'!$E$2:$E$33,E13)&gt;0),1,0))+IF(F13='Resultats Reals'!$C$11,2,IF(OR(F13='Resultats Reals'!$C$12,COUNTIF('Resultats Reals'!$E$2:$E$33,F13)&gt;0),1,0))+IF(G13='Resultats Reals'!$C$14,2,IF(OR(G13='Resultats Reals'!$C$15,COUNTIF('Resultats Reals'!$E$2:$E$33,G13)&gt;0),1,0))+IF(H13='Resultats Reals'!$C$17,2,IF(OR(H13='Resultats Reals'!$C$18,COUNTIF('Resultats Reals'!$E$2:$E$33,H13)&gt;0),1,0))+IF(I13='Resultats Reals'!$C$20,2,IF(OR(I13='Resultats Reals'!$C$21,COUNTIF('Resultats Reals'!$E$2:$E$33,I13)&gt;0),1,0))+IF(J13='Resultats Reals'!$C$23,2,IF(OR(J13='Resultats Reals'!$C$24,COUNTIF('Resultats Reals'!$E$2:$E$33,J13)&gt;0),1,0))+IF(K13='Resultats Reals'!$C$26,2,IF(OR(K13='Resultats Reals'!$C$27,COUNTIF('Resultats Reals'!$E$2:$E$33,K13)&gt;0),1,0))+IF(L13='Resultats Reals'!$C$29,2,IF(OR(L13='Resultats Reals'!$C$30,COUNTIF('Resultats Reals'!$E$2:$E$33,L13)&gt;0),1,0))+IF(M13='Resultats Reals'!$C$32,2,IF(OR(M13='Resultats Reals'!$C$33,COUNTIF('Resultats Reals'!$E$2:$E$33,M13)&gt;0),1,0))+IF(N13='Resultats Reals'!$C$35,2,IF(OR(N13='Resultats Reals'!$C$36,COUNTIF('Resultats Reals'!$E$2:$E$33,N13)&gt;0),1,0))</f>
        <v>22</v>
      </c>
      <c r="BV13">
        <f>IF(O13='Resultats Reals'!$C$3,2,IF(OR(O13='Resultats Reals'!$C$2,COUNTIF('Resultats Reals'!$E$2:$E$33,O13)&gt;0),1,0))+IF(P13='Resultats Reals'!$C$6,2,IF(OR(P13='Resultats Reals'!$C$5,COUNTIF('Resultats Reals'!$E$2:$E$33,P13)&gt;0),1,0))+IF(Q13='Resultats Reals'!$C$9,2,IF(OR(Q13='Resultats Reals'!$C$8,COUNTIF('Resultats Reals'!$E$2:$E$33,Q13)&gt;0),1,0))+IF(R13='Resultats Reals'!$C$12,2,IF(OR(R13='Resultats Reals'!$C$11,COUNTIF('Resultats Reals'!$E$2:$E$33,R13)&gt;0),1,0))+IF(S13='Resultats Reals'!$C$15,2,IF(OR(S13='Resultats Reals'!$C$14,COUNTIF('Resultats Reals'!$E$2:$E$33,S13)&gt;0),1,0))+IF(T13='Resultats Reals'!$C$18,2,IF(OR(T13='Resultats Reals'!$C$17,COUNTIF('Resultats Reals'!$E$2:$E$33,T13)&gt;0),1,0))+IF(U13='Resultats Reals'!$C$21,2,IF(OR(U13='Resultats Reals'!$C$20,COUNTIF('Resultats Reals'!$E$2:$E$33,U13)&gt;0),1,0))+IF(V13='Resultats Reals'!$C$24,2,IF(OR(V13='Resultats Reals'!$C$23,COUNTIF('Resultats Reals'!$E$2:$E$33,V13)&gt;0),1,0))+IF(W13='Resultats Reals'!$C$27,2,IF(OR(W13='Resultats Reals'!$C$26,COUNTIF('Resultats Reals'!$E$2:$E$33,W13)&gt;0),1,0))+IF(X13='Resultats Reals'!$C$30,2,IF(OR(X13='Resultats Reals'!$C$29,COUNTIF('Resultats Reals'!$E$2:$E$33,X13)&gt;0),1,0))+IF(Y13='Resultats Reals'!$C$33,2,IF(OR(Y13='Resultats Reals'!$C$32,COUNTIF('Resultats Reals'!$E$2:$E$33,Y13)&gt;0),1,0))+IF(Z13='Resultats Reals'!$C$36,2,IF(OR(Z13='Resultats Reals'!$C$35,COUNTIF('Resultats Reals'!$E$2:$E$33,Z13)&gt;0),1,0))</f>
        <v>15</v>
      </c>
      <c r="BW13">
        <f>IF(AA13='Resultats Reals'!$C$4,IF(COUNTIF('Resultats Reals'!$E$2:$E$33,AA13)&gt;0,2,0.5),IF(OR(AA13='Resultats Reals'!$C$2,AA13='Resultats Reals'!$C$3,COUNTIF('Resultats Reals'!$E$2:$E$33,AA13)&gt;0),1,0))+IF(AB13='Resultats Reals'!$C$7,IF(COUNTIF('Resultats Reals'!$E$2:$E$33,AB13)&gt;0,2,0.5),IF(OR(AB13='Resultats Reals'!$C$5,AB13='Resultats Reals'!$C$6,COUNTIF('Resultats Reals'!$E$2:$E$33,AB13)&gt;0),1,0))+IF(AC13='Resultats Reals'!$C$10,IF(COUNTIF('Resultats Reals'!$E$2:$E$33,AC13)&gt;0,2,0.5),IF(OR(AC13='Resultats Reals'!$C$8,AC13='Resultats Reals'!$C$9,COUNTIF('Resultats Reals'!$E$2:$E$33,AC13)&gt;0),1,0))+IF(AD13='Resultats Reals'!$C$13,IF(COUNTIF('Resultats Reals'!$E$2:$E$33,AD13)&gt;0,2,0.5),IF(OR(AD13='Resultats Reals'!$C$11,AD13='Resultats Reals'!$C$12,COUNTIF('Resultats Reals'!$E$2:$E$33,AD13)&gt;0),1,0))+IF(AE13='Resultats Reals'!$C$16,IF(COUNTIF('Resultats Reals'!$E$2:$E$33,AE13)&gt;0,2,0.5),IF(OR(AE13='Resultats Reals'!$C$14,AE13='Resultats Reals'!$C$15,COUNTIF('Resultats Reals'!$E$2:$E$33,AE13)&gt;0),1,0))+IF(AF13='Resultats Reals'!$C$19,IF(COUNTIF('Resultats Reals'!$E$2:$E$33,AF13)&gt;0,2,0.5),IF(OR(AF13='Resultats Reals'!$C$17,AF13='Resultats Reals'!$C$18,COUNTIF('Resultats Reals'!$E$2:$E$33,AF13)&gt;0),1,0))+IF(AG13='Resultats Reals'!$C$22,IF(COUNTIF('Resultats Reals'!$E$2:$E$33,AG13)&gt;0,2,0.5),IF(OR(AG13='Resultats Reals'!$C$20,AG13='Resultats Reals'!$C$21,COUNTIF('Resultats Reals'!$E$2:$E$33,AG13)&gt;0),1,0))+IF(AH13='Resultats Reals'!$C$25,IF(COUNTIF('Resultats Reals'!$E$2:$E$33,AH13)&gt;0,2,0.5),IF(OR(AH13='Resultats Reals'!$C$23,AH13='Resultats Reals'!$C$24,COUNTIF('Resultats Reals'!$E$2:$E$33,AH13)&gt;0),1,0))+IF(AI13='Resultats Reals'!$C$28,IF(COUNTIF('Resultats Reals'!$E$2:$E$33,AI13)&gt;0,2,0.5),IF(OR(AI13='Resultats Reals'!$C$26,AI13='Resultats Reals'!$C$27,COUNTIF('Resultats Reals'!$E$2:$E$33,AI13)&gt;0),1,0))+IF(AJ13='Resultats Reals'!$C$31,IF(COUNTIF('Resultats Reals'!$E$2:$E$33,AJ13)&gt;0,2,0.5),IF(OR(AJ13='Resultats Reals'!$C$29,AJ13='Resultats Reals'!$C$30,COUNTIF('Resultats Reals'!$E$2:$E$33,AJ13)&gt;0),1,0))+IF(AK13='Resultats Reals'!$C$34,IF(COUNTIF('Resultats Reals'!$E$2:$E$33,AK13)&gt;0,2,0.5),IF(OR(AK13='Resultats Reals'!$C$32,AK13='Resultats Reals'!$C$33,COUNTIF('Resultats Reals'!$E$2:$E$33,AK13)&gt;0),1,0))+IF(AL13='Resultats Reals'!$C$37,IF(COUNTIF('Resultats Reals'!$E$2:$E$33,AL13)&gt;0,2,0.5),IF(OR(AL13='Resultats Reals'!$C$35,AL13='Resultats Reals'!$C$36,COUNTIF('Resultats Reals'!$E$2:$E$33,AL13)&gt;0),1,0))</f>
        <v>11.5</v>
      </c>
      <c r="BX13">
        <f>IF(COUNTIF('Resultats Reals'!$F$2:$F$17,AM13)&gt;0,1,0)+IF(COUNTIF('Resultats Reals'!$F$2:$F$17,AN13)&gt;0,1,0)+IF(COUNTIF('Resultats Reals'!$F$2:$F$17,AO13)&gt;0,1,0)+IF(COUNTIF('Resultats Reals'!$F$2:$F$17,AP13)&gt;0,1,0)+IF(COUNTIF('Resultats Reals'!$F$2:$F$17,AQ13)&gt;0,1,0)+IF(COUNTIF('Resultats Reals'!$F$2:$F$17,AR13)&gt;0,1,0)+IF(COUNTIF('Resultats Reals'!$F$2:$F$17,AS13)&gt;0,1,0)+IF(COUNTIF('Resultats Reals'!$F$2:$F$17,AT13)&gt;0,1,0)+IF(COUNTIF('Resultats Reals'!$F$2:$F$17,AU13)&gt;0,1,0)+IF(COUNTIF('Resultats Reals'!$F$2:$F$17,AV13)&gt;0,1,0)+IF(COUNTIF('Resultats Reals'!$F$2:$F$17,AW13)&gt;0,1,0)+IF(COUNTIF('Resultats Reals'!$F$2:$F$17,AX13)&gt;0,1,0)+IF(COUNTIF('Resultats Reals'!$F$2:$F$17,AY13)&gt;0,1,0)+IF(COUNTIF('Resultats Reals'!$F$2:$F$17,AZ13)&gt;0,1,0)+IF(COUNTIF('Resultats Reals'!$F$2:$F$17,BA13)&gt;0,1,0)+IF(COUNTIF('Resultats Reals'!$F$2:$F$17,BB13)&gt;0,1,0)</f>
        <v>12</v>
      </c>
      <c r="BY13">
        <f>IF(COUNTIF('Resultats Reals'!$G$2:$G$9,BC13)&gt;0,1,0)+IF(COUNTIF('Resultats Reals'!$G$2:$G$9,BD13)&gt;0,1,0)+IF(COUNTIF('Resultats Reals'!$G$2:$G$9,BE13)&gt;0,1,0)+IF(COUNTIF('Resultats Reals'!$G$2:$G$9,BF13)&gt;0,1,0)+IF(COUNTIF('Resultats Reals'!$G$2:$G$9,BG13)&gt;0,1,0)+IF(COUNTIF('Resultats Reals'!$G$2:$G$9,BH13)&gt;0,1,0)+IF(COUNTIF('Resultats Reals'!$G$2:$G$9,BI13)&gt;0,1,0)+IF(COUNTIF('Resultats Reals'!$G$2:$G$9,BJ13)&gt;0,1,0)</f>
        <v>5</v>
      </c>
      <c r="BZ13">
        <f>IF(COUNTIF('Resultats Reals'!$H$2:$H$5,BK13)&gt;0,1,0)+IF(COUNTIF('Resultats Reals'!$H$2:$H$5,BL13)&gt;0,1,0)+IF(COUNTIF('Resultats Reals'!$H$2:$H$5,BM13)&gt;0,1,0)+IF(COUNTIF('Resultats Reals'!$H$2:$H$5,BN13)&gt;0,1,0)</f>
        <v>2</v>
      </c>
      <c r="CA13">
        <f>IF(COUNTIF('Resultats Reals'!$I$2:$I$3,BO13)&gt;0,3,0)+IF(COUNTIF('Resultats Reals'!$I$2:$I$3,BP13)&gt;0,3,0)</f>
        <v>0</v>
      </c>
      <c r="CB13">
        <f>IF(BQ13='Resultats Reals'!$J$2,5,0)</f>
        <v>0</v>
      </c>
      <c r="CC13">
        <f>IF(BS13='Resultats Reals'!$K$2,5,0)</f>
        <v>0</v>
      </c>
      <c r="CD13">
        <f>IFERROR(VLOOKUP(BT13,'Resultats Reals'!$N$2:$O$100,2,FALSE),0)</f>
        <v>1</v>
      </c>
      <c r="CE13">
        <f>IF(BR13='Resultats Reals'!$L$2,5,0)</f>
        <v>0</v>
      </c>
      <c r="CF13" s="7">
        <f t="shared" si="0"/>
        <v>68.5</v>
      </c>
    </row>
    <row r="14" spans="1:84" x14ac:dyDescent="0.25">
      <c r="A14" t="s">
        <v>168</v>
      </c>
      <c r="B14" t="s">
        <v>85</v>
      </c>
      <c r="C14" t="s">
        <v>86</v>
      </c>
      <c r="D14" t="s">
        <v>87</v>
      </c>
      <c r="E14" t="s">
        <v>88</v>
      </c>
      <c r="F14" t="s">
        <v>101</v>
      </c>
      <c r="G14" t="s">
        <v>90</v>
      </c>
      <c r="H14" t="s">
        <v>91</v>
      </c>
      <c r="I14" t="s">
        <v>92</v>
      </c>
      <c r="J14" t="s">
        <v>93</v>
      </c>
      <c r="K14" t="s">
        <v>94</v>
      </c>
      <c r="L14" t="s">
        <v>95</v>
      </c>
      <c r="M14" t="s">
        <v>96</v>
      </c>
      <c r="N14" t="s">
        <v>97</v>
      </c>
      <c r="O14" t="s">
        <v>110</v>
      </c>
      <c r="P14" t="s">
        <v>245</v>
      </c>
      <c r="Q14" t="s">
        <v>100</v>
      </c>
      <c r="R14" t="s">
        <v>112</v>
      </c>
      <c r="S14" t="s">
        <v>102</v>
      </c>
      <c r="T14" t="s">
        <v>114</v>
      </c>
      <c r="U14" t="s">
        <v>104</v>
      </c>
      <c r="V14" t="s">
        <v>105</v>
      </c>
      <c r="W14" t="s">
        <v>117</v>
      </c>
      <c r="X14" t="s">
        <v>107</v>
      </c>
      <c r="Y14" t="s">
        <v>108</v>
      </c>
      <c r="Z14" t="s">
        <v>109</v>
      </c>
      <c r="AA14" t="s">
        <v>98</v>
      </c>
      <c r="AB14" t="s">
        <v>99</v>
      </c>
      <c r="AC14" t="s">
        <v>111</v>
      </c>
      <c r="AD14" t="s">
        <v>89</v>
      </c>
      <c r="AE14" t="s">
        <v>113</v>
      </c>
      <c r="AF14" t="s">
        <v>103</v>
      </c>
      <c r="AG14" t="s">
        <v>115</v>
      </c>
      <c r="AH14" t="s">
        <v>116</v>
      </c>
      <c r="AI14" t="s">
        <v>106</v>
      </c>
      <c r="AJ14" t="s">
        <v>118</v>
      </c>
      <c r="AK14" t="s">
        <v>127</v>
      </c>
      <c r="AL14" t="s">
        <v>120</v>
      </c>
      <c r="AM14" t="s">
        <v>102</v>
      </c>
      <c r="AN14" t="s">
        <v>94</v>
      </c>
      <c r="AO14" t="s">
        <v>110</v>
      </c>
      <c r="AP14" t="s">
        <v>91</v>
      </c>
      <c r="AQ14" t="s">
        <v>108</v>
      </c>
      <c r="AR14" t="s">
        <v>93</v>
      </c>
      <c r="AS14" t="s">
        <v>101</v>
      </c>
      <c r="AT14" t="s">
        <v>92</v>
      </c>
      <c r="AU14" t="s">
        <v>88</v>
      </c>
      <c r="AV14" t="s">
        <v>90</v>
      </c>
      <c r="AW14" t="s">
        <v>86</v>
      </c>
      <c r="AX14" t="s">
        <v>97</v>
      </c>
      <c r="AY14" t="s">
        <v>95</v>
      </c>
      <c r="AZ14" t="s">
        <v>112</v>
      </c>
      <c r="BA14" t="s">
        <v>87</v>
      </c>
      <c r="BB14" t="s">
        <v>96</v>
      </c>
      <c r="BC14" t="s">
        <v>94</v>
      </c>
      <c r="BD14" t="s">
        <v>91</v>
      </c>
      <c r="BE14" t="s">
        <v>93</v>
      </c>
      <c r="BF14" t="s">
        <v>92</v>
      </c>
      <c r="BG14" t="s">
        <v>88</v>
      </c>
      <c r="BH14" t="s">
        <v>97</v>
      </c>
      <c r="BI14" t="s">
        <v>95</v>
      </c>
      <c r="BJ14" t="s">
        <v>96</v>
      </c>
      <c r="BK14" t="s">
        <v>94</v>
      </c>
      <c r="BL14" t="s">
        <v>93</v>
      </c>
      <c r="BM14" t="s">
        <v>97</v>
      </c>
      <c r="BN14" t="s">
        <v>95</v>
      </c>
      <c r="BO14" t="s">
        <v>93</v>
      </c>
      <c r="BP14" t="s">
        <v>95</v>
      </c>
      <c r="BQ14" t="s">
        <v>93</v>
      </c>
      <c r="BS14" t="s">
        <v>121</v>
      </c>
      <c r="BT14" t="s">
        <v>128</v>
      </c>
      <c r="BU14">
        <f>IF(C14='Resultats Reals'!$C$2,2,IF(OR(C14='Resultats Reals'!$C$3,COUNTIF('Resultats Reals'!$E$2:$E$33,C14)&gt;0),1,0))+IF(D14='Resultats Reals'!$C$5,2,IF(OR(D14='Resultats Reals'!$C$6,COUNTIF('Resultats Reals'!$E$2:$E$33,D14)&gt;0),1,0))+IF(E14='Resultats Reals'!$C$8,2,IF(OR(E14='Resultats Reals'!$C$9,COUNTIF('Resultats Reals'!$E$2:$E$33,E14)&gt;0),1,0))+IF(F14='Resultats Reals'!$C$11,2,IF(OR(F14='Resultats Reals'!$C$12,COUNTIF('Resultats Reals'!$E$2:$E$33,F14)&gt;0),1,0))+IF(G14='Resultats Reals'!$C$14,2,IF(OR(G14='Resultats Reals'!$C$15,COUNTIF('Resultats Reals'!$E$2:$E$33,G14)&gt;0),1,0))+IF(H14='Resultats Reals'!$C$17,2,IF(OR(H14='Resultats Reals'!$C$18,COUNTIF('Resultats Reals'!$E$2:$E$33,H14)&gt;0),1,0))+IF(I14='Resultats Reals'!$C$20,2,IF(OR(I14='Resultats Reals'!$C$21,COUNTIF('Resultats Reals'!$E$2:$E$33,I14)&gt;0),1,0))+IF(J14='Resultats Reals'!$C$23,2,IF(OR(J14='Resultats Reals'!$C$24,COUNTIF('Resultats Reals'!$E$2:$E$33,J14)&gt;0),1,0))+IF(K14='Resultats Reals'!$C$26,2,IF(OR(K14='Resultats Reals'!$C$27,COUNTIF('Resultats Reals'!$E$2:$E$33,K14)&gt;0),1,0))+IF(L14='Resultats Reals'!$C$29,2,IF(OR(L14='Resultats Reals'!$C$30,COUNTIF('Resultats Reals'!$E$2:$E$33,L14)&gt;0),1,0))+IF(M14='Resultats Reals'!$C$32,2,IF(OR(M14='Resultats Reals'!$C$33,COUNTIF('Resultats Reals'!$E$2:$E$33,M14)&gt;0),1,0))+IF(N14='Resultats Reals'!$C$35,2,IF(OR(N14='Resultats Reals'!$C$36,COUNTIF('Resultats Reals'!$E$2:$E$33,N14)&gt;0),1,0))</f>
        <v>21</v>
      </c>
      <c r="BV14">
        <f>IF(O14='Resultats Reals'!$C$3,2,IF(OR(O14='Resultats Reals'!$C$2,COUNTIF('Resultats Reals'!$E$2:$E$33,O14)&gt;0),1,0))+IF(P14='Resultats Reals'!$C$6,2,IF(OR(P14='Resultats Reals'!$C$5,COUNTIF('Resultats Reals'!$E$2:$E$33,P14)&gt;0),1,0))+IF(Q14='Resultats Reals'!$C$9,2,IF(OR(Q14='Resultats Reals'!$C$8,COUNTIF('Resultats Reals'!$E$2:$E$33,Q14)&gt;0),1,0))+IF(R14='Resultats Reals'!$C$12,2,IF(OR(R14='Resultats Reals'!$C$11,COUNTIF('Resultats Reals'!$E$2:$E$33,R14)&gt;0),1,0))+IF(S14='Resultats Reals'!$C$15,2,IF(OR(S14='Resultats Reals'!$C$14,COUNTIF('Resultats Reals'!$E$2:$E$33,S14)&gt;0),1,0))+IF(T14='Resultats Reals'!$C$18,2,IF(OR(T14='Resultats Reals'!$C$17,COUNTIF('Resultats Reals'!$E$2:$E$33,T14)&gt;0),1,0))+IF(U14='Resultats Reals'!$C$21,2,IF(OR(U14='Resultats Reals'!$C$20,COUNTIF('Resultats Reals'!$E$2:$E$33,U14)&gt;0),1,0))+IF(V14='Resultats Reals'!$C$24,2,IF(OR(V14='Resultats Reals'!$C$23,COUNTIF('Resultats Reals'!$E$2:$E$33,V14)&gt;0),1,0))+IF(W14='Resultats Reals'!$C$27,2,IF(OR(W14='Resultats Reals'!$C$26,COUNTIF('Resultats Reals'!$E$2:$E$33,W14)&gt;0),1,0))+IF(X14='Resultats Reals'!$C$30,2,IF(OR(X14='Resultats Reals'!$C$29,COUNTIF('Resultats Reals'!$E$2:$E$33,X14)&gt;0),1,0))+IF(Y14='Resultats Reals'!$C$33,2,IF(OR(Y14='Resultats Reals'!$C$32,COUNTIF('Resultats Reals'!$E$2:$E$33,Y14)&gt;0),1,0))+IF(Z14='Resultats Reals'!$C$36,2,IF(OR(Z14='Resultats Reals'!$C$35,COUNTIF('Resultats Reals'!$E$2:$E$33,Z14)&gt;0),1,0))</f>
        <v>16</v>
      </c>
      <c r="BW14">
        <f>IF(AA14='Resultats Reals'!$C$4,IF(COUNTIF('Resultats Reals'!$E$2:$E$33,AA14)&gt;0,2,0.5),IF(OR(AA14='Resultats Reals'!$C$2,AA14='Resultats Reals'!$C$3,COUNTIF('Resultats Reals'!$E$2:$E$33,AA14)&gt;0),1,0))+IF(AB14='Resultats Reals'!$C$7,IF(COUNTIF('Resultats Reals'!$E$2:$E$33,AB14)&gt;0,2,0.5),IF(OR(AB14='Resultats Reals'!$C$5,AB14='Resultats Reals'!$C$6,COUNTIF('Resultats Reals'!$E$2:$E$33,AB14)&gt;0),1,0))+IF(AC14='Resultats Reals'!$C$10,IF(COUNTIF('Resultats Reals'!$E$2:$E$33,AC14)&gt;0,2,0.5),IF(OR(AC14='Resultats Reals'!$C$8,AC14='Resultats Reals'!$C$9,COUNTIF('Resultats Reals'!$E$2:$E$33,AC14)&gt;0),1,0))+IF(AD14='Resultats Reals'!$C$13,IF(COUNTIF('Resultats Reals'!$E$2:$E$33,AD14)&gt;0,2,0.5),IF(OR(AD14='Resultats Reals'!$C$11,AD14='Resultats Reals'!$C$12,COUNTIF('Resultats Reals'!$E$2:$E$33,AD14)&gt;0),1,0))+IF(AE14='Resultats Reals'!$C$16,IF(COUNTIF('Resultats Reals'!$E$2:$E$33,AE14)&gt;0,2,0.5),IF(OR(AE14='Resultats Reals'!$C$14,AE14='Resultats Reals'!$C$15,COUNTIF('Resultats Reals'!$E$2:$E$33,AE14)&gt;0),1,0))+IF(AF14='Resultats Reals'!$C$19,IF(COUNTIF('Resultats Reals'!$E$2:$E$33,AF14)&gt;0,2,0.5),IF(OR(AF14='Resultats Reals'!$C$17,AF14='Resultats Reals'!$C$18,COUNTIF('Resultats Reals'!$E$2:$E$33,AF14)&gt;0),1,0))+IF(AG14='Resultats Reals'!$C$22,IF(COUNTIF('Resultats Reals'!$E$2:$E$33,AG14)&gt;0,2,0.5),IF(OR(AG14='Resultats Reals'!$C$20,AG14='Resultats Reals'!$C$21,COUNTIF('Resultats Reals'!$E$2:$E$33,AG14)&gt;0),1,0))+IF(AH14='Resultats Reals'!$C$25,IF(COUNTIF('Resultats Reals'!$E$2:$E$33,AH14)&gt;0,2,0.5),IF(OR(AH14='Resultats Reals'!$C$23,AH14='Resultats Reals'!$C$24,COUNTIF('Resultats Reals'!$E$2:$E$33,AH14)&gt;0),1,0))+IF(AI14='Resultats Reals'!$C$28,IF(COUNTIF('Resultats Reals'!$E$2:$E$33,AI14)&gt;0,2,0.5),IF(OR(AI14='Resultats Reals'!$C$26,AI14='Resultats Reals'!$C$27,COUNTIF('Resultats Reals'!$E$2:$E$33,AI14)&gt;0),1,0))+IF(AJ14='Resultats Reals'!$C$31,IF(COUNTIF('Resultats Reals'!$E$2:$E$33,AJ14)&gt;0,2,0.5),IF(OR(AJ14='Resultats Reals'!$C$29,AJ14='Resultats Reals'!$C$30,COUNTIF('Resultats Reals'!$E$2:$E$33,AJ14)&gt;0),1,0))+IF(AK14='Resultats Reals'!$C$34,IF(COUNTIF('Resultats Reals'!$E$2:$E$33,AK14)&gt;0,2,0.5),IF(OR(AK14='Resultats Reals'!$C$32,AK14='Resultats Reals'!$C$33,COUNTIF('Resultats Reals'!$E$2:$E$33,AK14)&gt;0),1,0))+IF(AL14='Resultats Reals'!$C$37,IF(COUNTIF('Resultats Reals'!$E$2:$E$33,AL14)&gt;0,2,0.5),IF(OR(AL14='Resultats Reals'!$C$35,AL14='Resultats Reals'!$C$36,COUNTIF('Resultats Reals'!$E$2:$E$33,AL14)&gt;0),1,0))</f>
        <v>14.5</v>
      </c>
      <c r="BX14">
        <f>IF(COUNTIF('Resultats Reals'!$F$2:$F$17,AM14)&gt;0,1,0)+IF(COUNTIF('Resultats Reals'!$F$2:$F$17,AN14)&gt;0,1,0)+IF(COUNTIF('Resultats Reals'!$F$2:$F$17,AO14)&gt;0,1,0)+IF(COUNTIF('Resultats Reals'!$F$2:$F$17,AP14)&gt;0,1,0)+IF(COUNTIF('Resultats Reals'!$F$2:$F$17,AQ14)&gt;0,1,0)+IF(COUNTIF('Resultats Reals'!$F$2:$F$17,AR14)&gt;0,1,0)+IF(COUNTIF('Resultats Reals'!$F$2:$F$17,AS14)&gt;0,1,0)+IF(COUNTIF('Resultats Reals'!$F$2:$F$17,AT14)&gt;0,1,0)+IF(COUNTIF('Resultats Reals'!$F$2:$F$17,AU14)&gt;0,1,0)+IF(COUNTIF('Resultats Reals'!$F$2:$F$17,AV14)&gt;0,1,0)+IF(COUNTIF('Resultats Reals'!$F$2:$F$17,AW14)&gt;0,1,0)+IF(COUNTIF('Resultats Reals'!$F$2:$F$17,AX14)&gt;0,1,0)+IF(COUNTIF('Resultats Reals'!$F$2:$F$17,AY14)&gt;0,1,0)+IF(COUNTIF('Resultats Reals'!$F$2:$F$17,AZ14)&gt;0,1,0)+IF(COUNTIF('Resultats Reals'!$F$2:$F$17,BA14)&gt;0,1,0)+IF(COUNTIF('Resultats Reals'!$F$2:$F$17,BB14)&gt;0,1,0)</f>
        <v>11</v>
      </c>
      <c r="BY14">
        <f>IF(COUNTIF('Resultats Reals'!$G$2:$G$9,BC14)&gt;0,1,0)+IF(COUNTIF('Resultats Reals'!$G$2:$G$9,BD14)&gt;0,1,0)+IF(COUNTIF('Resultats Reals'!$G$2:$G$9,BE14)&gt;0,1,0)+IF(COUNTIF('Resultats Reals'!$G$2:$G$9,BF14)&gt;0,1,0)+IF(COUNTIF('Resultats Reals'!$G$2:$G$9,BG14)&gt;0,1,0)+IF(COUNTIF('Resultats Reals'!$G$2:$G$9,BH14)&gt;0,1,0)+IF(COUNTIF('Resultats Reals'!$G$2:$G$9,BI14)&gt;0,1,0)+IF(COUNTIF('Resultats Reals'!$G$2:$G$9,BJ14)&gt;0,1,0)</f>
        <v>5</v>
      </c>
      <c r="BZ14">
        <f>IF(COUNTIF('Resultats Reals'!$H$2:$H$5,BK14)&gt;0,1,0)+IF(COUNTIF('Resultats Reals'!$H$2:$H$5,BL14)&gt;0,1,0)+IF(COUNTIF('Resultats Reals'!$H$2:$H$5,BM14)&gt;0,1,0)+IF(COUNTIF('Resultats Reals'!$H$2:$H$5,BN14)&gt;0,1,0)</f>
        <v>4</v>
      </c>
      <c r="CA14">
        <f>IF(COUNTIF('Resultats Reals'!$I$2:$I$3,BO14)&gt;0,3,0)+IF(COUNTIF('Resultats Reals'!$I$2:$I$3,BP14)&gt;0,3,0)</f>
        <v>0</v>
      </c>
      <c r="CB14">
        <f>IF(BQ14='Resultats Reals'!$J$2,5,0)</f>
        <v>0</v>
      </c>
      <c r="CC14">
        <f>IF(BS14='Resultats Reals'!$K$2,5,0)</f>
        <v>0</v>
      </c>
      <c r="CD14">
        <f>IFERROR(VLOOKUP(BT14,'Resultats Reals'!$N$2:$O$100,2,FALSE),0)</f>
        <v>8</v>
      </c>
      <c r="CE14">
        <f>IF(BR14='Resultats Reals'!$L$2,5,0)</f>
        <v>0</v>
      </c>
      <c r="CF14" s="7">
        <f t="shared" si="0"/>
        <v>79.5</v>
      </c>
    </row>
    <row r="15" spans="1:84" x14ac:dyDescent="0.25">
      <c r="A15" t="s">
        <v>183</v>
      </c>
      <c r="B15" t="s">
        <v>124</v>
      </c>
      <c r="C15" t="s">
        <v>86</v>
      </c>
      <c r="D15" t="s">
        <v>99</v>
      </c>
      <c r="E15" t="s">
        <v>88</v>
      </c>
      <c r="F15" t="s">
        <v>101</v>
      </c>
      <c r="G15" t="s">
        <v>90</v>
      </c>
      <c r="H15" t="s">
        <v>91</v>
      </c>
      <c r="I15" t="s">
        <v>92</v>
      </c>
      <c r="J15" t="s">
        <v>93</v>
      </c>
      <c r="K15" t="s">
        <v>94</v>
      </c>
      <c r="L15" t="s">
        <v>95</v>
      </c>
      <c r="M15" t="s">
        <v>96</v>
      </c>
      <c r="N15" t="s">
        <v>97</v>
      </c>
      <c r="O15" t="s">
        <v>98</v>
      </c>
      <c r="P15" t="s">
        <v>125</v>
      </c>
      <c r="Q15" t="s">
        <v>100</v>
      </c>
      <c r="R15" t="s">
        <v>89</v>
      </c>
      <c r="S15" t="s">
        <v>102</v>
      </c>
      <c r="T15" t="s">
        <v>114</v>
      </c>
      <c r="U15" t="s">
        <v>104</v>
      </c>
      <c r="V15" t="s">
        <v>105</v>
      </c>
      <c r="W15" t="s">
        <v>117</v>
      </c>
      <c r="X15" t="s">
        <v>118</v>
      </c>
      <c r="Y15" t="s">
        <v>108</v>
      </c>
      <c r="Z15" t="s">
        <v>109</v>
      </c>
      <c r="AA15" t="s">
        <v>130</v>
      </c>
      <c r="AB15" t="s">
        <v>87</v>
      </c>
      <c r="AC15" t="s">
        <v>111</v>
      </c>
      <c r="AD15" t="s">
        <v>112</v>
      </c>
      <c r="AE15" t="s">
        <v>113</v>
      </c>
      <c r="AF15" t="s">
        <v>103</v>
      </c>
      <c r="AG15" t="s">
        <v>115</v>
      </c>
      <c r="AH15" t="s">
        <v>116</v>
      </c>
      <c r="AI15" t="s">
        <v>106</v>
      </c>
      <c r="AJ15" t="s">
        <v>107</v>
      </c>
      <c r="AK15" t="s">
        <v>127</v>
      </c>
      <c r="AL15" t="s">
        <v>120</v>
      </c>
      <c r="AM15" t="s">
        <v>90</v>
      </c>
      <c r="AN15" t="s">
        <v>94</v>
      </c>
      <c r="AO15" t="s">
        <v>98</v>
      </c>
      <c r="AP15" t="s">
        <v>100</v>
      </c>
      <c r="AQ15" t="s">
        <v>108</v>
      </c>
      <c r="AR15" t="s">
        <v>93</v>
      </c>
      <c r="AS15" t="s">
        <v>101</v>
      </c>
      <c r="AT15" t="s">
        <v>92</v>
      </c>
      <c r="AU15" t="s">
        <v>88</v>
      </c>
      <c r="AV15" t="s">
        <v>117</v>
      </c>
      <c r="AW15" t="s">
        <v>86</v>
      </c>
      <c r="AX15" t="s">
        <v>97</v>
      </c>
      <c r="AY15" t="s">
        <v>95</v>
      </c>
      <c r="AZ15" t="s">
        <v>104</v>
      </c>
      <c r="BA15" t="s">
        <v>99</v>
      </c>
      <c r="BB15" t="s">
        <v>96</v>
      </c>
      <c r="BC15" t="s">
        <v>94</v>
      </c>
      <c r="BD15" t="s">
        <v>100</v>
      </c>
      <c r="BE15" t="s">
        <v>93</v>
      </c>
      <c r="BF15" t="s">
        <v>92</v>
      </c>
      <c r="BG15" t="s">
        <v>88</v>
      </c>
      <c r="BH15" t="s">
        <v>97</v>
      </c>
      <c r="BI15" t="s">
        <v>95</v>
      </c>
      <c r="BJ15" t="s">
        <v>96</v>
      </c>
      <c r="BK15" t="s">
        <v>94</v>
      </c>
      <c r="BL15" t="s">
        <v>93</v>
      </c>
      <c r="BM15" t="s">
        <v>88</v>
      </c>
      <c r="BN15" t="s">
        <v>95</v>
      </c>
      <c r="BO15" t="s">
        <v>93</v>
      </c>
      <c r="BP15" t="s">
        <v>88</v>
      </c>
      <c r="BQ15" t="s">
        <v>93</v>
      </c>
      <c r="BS15" t="s">
        <v>121</v>
      </c>
      <c r="BT15" t="s">
        <v>128</v>
      </c>
      <c r="BU15">
        <f>IF(C15='Resultats Reals'!$C$2,2,IF(OR(C15='Resultats Reals'!$C$3,COUNTIF('Resultats Reals'!$E$2:$E$33,C15)&gt;0),1,0))+IF(D15='Resultats Reals'!$C$5,2,IF(OR(D15='Resultats Reals'!$C$6,COUNTIF('Resultats Reals'!$E$2:$E$33,D15)&gt;0),1,0))+IF(E15='Resultats Reals'!$C$8,2,IF(OR(E15='Resultats Reals'!$C$9,COUNTIF('Resultats Reals'!$E$2:$E$33,E15)&gt;0),1,0))+IF(F15='Resultats Reals'!$C$11,2,IF(OR(F15='Resultats Reals'!$C$12,COUNTIF('Resultats Reals'!$E$2:$E$33,F15)&gt;0),1,0))+IF(G15='Resultats Reals'!$C$14,2,IF(OR(G15='Resultats Reals'!$C$15,COUNTIF('Resultats Reals'!$E$2:$E$33,G15)&gt;0),1,0))+IF(H15='Resultats Reals'!$C$17,2,IF(OR(H15='Resultats Reals'!$C$18,COUNTIF('Resultats Reals'!$E$2:$E$33,H15)&gt;0),1,0))+IF(I15='Resultats Reals'!$C$20,2,IF(OR(I15='Resultats Reals'!$C$21,COUNTIF('Resultats Reals'!$E$2:$E$33,I15)&gt;0),1,0))+IF(J15='Resultats Reals'!$C$23,2,IF(OR(J15='Resultats Reals'!$C$24,COUNTIF('Resultats Reals'!$E$2:$E$33,J15)&gt;0),1,0))+IF(K15='Resultats Reals'!$C$26,2,IF(OR(K15='Resultats Reals'!$C$27,COUNTIF('Resultats Reals'!$E$2:$E$33,K15)&gt;0),1,0))+IF(L15='Resultats Reals'!$C$29,2,IF(OR(L15='Resultats Reals'!$C$30,COUNTIF('Resultats Reals'!$E$2:$E$33,L15)&gt;0),1,0))+IF(M15='Resultats Reals'!$C$32,2,IF(OR(M15='Resultats Reals'!$C$33,COUNTIF('Resultats Reals'!$E$2:$E$33,M15)&gt;0),1,0))+IF(N15='Resultats Reals'!$C$35,2,IF(OR(N15='Resultats Reals'!$C$36,COUNTIF('Resultats Reals'!$E$2:$E$33,N15)&gt;0),1,0))</f>
        <v>20</v>
      </c>
      <c r="BV15">
        <f>IF(O15='Resultats Reals'!$C$3,2,IF(OR(O15='Resultats Reals'!$C$2,COUNTIF('Resultats Reals'!$E$2:$E$33,O15)&gt;0),1,0))+IF(P15='Resultats Reals'!$C$6,2,IF(OR(P15='Resultats Reals'!$C$5,COUNTIF('Resultats Reals'!$E$2:$E$33,P15)&gt;0),1,0))+IF(Q15='Resultats Reals'!$C$9,2,IF(OR(Q15='Resultats Reals'!$C$8,COUNTIF('Resultats Reals'!$E$2:$E$33,Q15)&gt;0),1,0))+IF(R15='Resultats Reals'!$C$12,2,IF(OR(R15='Resultats Reals'!$C$11,COUNTIF('Resultats Reals'!$E$2:$E$33,R15)&gt;0),1,0))+IF(S15='Resultats Reals'!$C$15,2,IF(OR(S15='Resultats Reals'!$C$14,COUNTIF('Resultats Reals'!$E$2:$E$33,S15)&gt;0),1,0))+IF(T15='Resultats Reals'!$C$18,2,IF(OR(T15='Resultats Reals'!$C$17,COUNTIF('Resultats Reals'!$E$2:$E$33,T15)&gt;0),1,0))+IF(U15='Resultats Reals'!$C$21,2,IF(OR(U15='Resultats Reals'!$C$20,COUNTIF('Resultats Reals'!$E$2:$E$33,U15)&gt;0),1,0))+IF(V15='Resultats Reals'!$C$24,2,IF(OR(V15='Resultats Reals'!$C$23,COUNTIF('Resultats Reals'!$E$2:$E$33,V15)&gt;0),1,0))+IF(W15='Resultats Reals'!$C$27,2,IF(OR(W15='Resultats Reals'!$C$26,COUNTIF('Resultats Reals'!$E$2:$E$33,W15)&gt;0),1,0))+IF(X15='Resultats Reals'!$C$30,2,IF(OR(X15='Resultats Reals'!$C$29,COUNTIF('Resultats Reals'!$E$2:$E$33,X15)&gt;0),1,0))+IF(Y15='Resultats Reals'!$C$33,2,IF(OR(Y15='Resultats Reals'!$C$32,COUNTIF('Resultats Reals'!$E$2:$E$33,Y15)&gt;0),1,0))+IF(Z15='Resultats Reals'!$C$36,2,IF(OR(Z15='Resultats Reals'!$C$35,COUNTIF('Resultats Reals'!$E$2:$E$33,Z15)&gt;0),1,0))</f>
        <v>14</v>
      </c>
      <c r="BW15">
        <f>IF(AA15='Resultats Reals'!$C$4,IF(COUNTIF('Resultats Reals'!$E$2:$E$33,AA15)&gt;0,2,0.5),IF(OR(AA15='Resultats Reals'!$C$2,AA15='Resultats Reals'!$C$3,COUNTIF('Resultats Reals'!$E$2:$E$33,AA15)&gt;0),1,0))+IF(AB15='Resultats Reals'!$C$7,IF(COUNTIF('Resultats Reals'!$E$2:$E$33,AB15)&gt;0,2,0.5),IF(OR(AB15='Resultats Reals'!$C$5,AB15='Resultats Reals'!$C$6,COUNTIF('Resultats Reals'!$E$2:$E$33,AB15)&gt;0),1,0))+IF(AC15='Resultats Reals'!$C$10,IF(COUNTIF('Resultats Reals'!$E$2:$E$33,AC15)&gt;0,2,0.5),IF(OR(AC15='Resultats Reals'!$C$8,AC15='Resultats Reals'!$C$9,COUNTIF('Resultats Reals'!$E$2:$E$33,AC15)&gt;0),1,0))+IF(AD15='Resultats Reals'!$C$13,IF(COUNTIF('Resultats Reals'!$E$2:$E$33,AD15)&gt;0,2,0.5),IF(OR(AD15='Resultats Reals'!$C$11,AD15='Resultats Reals'!$C$12,COUNTIF('Resultats Reals'!$E$2:$E$33,AD15)&gt;0),1,0))+IF(AE15='Resultats Reals'!$C$16,IF(COUNTIF('Resultats Reals'!$E$2:$E$33,AE15)&gt;0,2,0.5),IF(OR(AE15='Resultats Reals'!$C$14,AE15='Resultats Reals'!$C$15,COUNTIF('Resultats Reals'!$E$2:$E$33,AE15)&gt;0),1,0))+IF(AF15='Resultats Reals'!$C$19,IF(COUNTIF('Resultats Reals'!$E$2:$E$33,AF15)&gt;0,2,0.5),IF(OR(AF15='Resultats Reals'!$C$17,AF15='Resultats Reals'!$C$18,COUNTIF('Resultats Reals'!$E$2:$E$33,AF15)&gt;0),1,0))+IF(AG15='Resultats Reals'!$C$22,IF(COUNTIF('Resultats Reals'!$E$2:$E$33,AG15)&gt;0,2,0.5),IF(OR(AG15='Resultats Reals'!$C$20,AG15='Resultats Reals'!$C$21,COUNTIF('Resultats Reals'!$E$2:$E$33,AG15)&gt;0),1,0))+IF(AH15='Resultats Reals'!$C$25,IF(COUNTIF('Resultats Reals'!$E$2:$E$33,AH15)&gt;0,2,0.5),IF(OR(AH15='Resultats Reals'!$C$23,AH15='Resultats Reals'!$C$24,COUNTIF('Resultats Reals'!$E$2:$E$33,AH15)&gt;0),1,0))+IF(AI15='Resultats Reals'!$C$28,IF(COUNTIF('Resultats Reals'!$E$2:$E$33,AI15)&gt;0,2,0.5),IF(OR(AI15='Resultats Reals'!$C$26,AI15='Resultats Reals'!$C$27,COUNTIF('Resultats Reals'!$E$2:$E$33,AI15)&gt;0),1,0))+IF(AJ15='Resultats Reals'!$C$31,IF(COUNTIF('Resultats Reals'!$E$2:$E$33,AJ15)&gt;0,2,0.5),IF(OR(AJ15='Resultats Reals'!$C$29,AJ15='Resultats Reals'!$C$30,COUNTIF('Resultats Reals'!$E$2:$E$33,AJ15)&gt;0),1,0))+IF(AK15='Resultats Reals'!$C$34,IF(COUNTIF('Resultats Reals'!$E$2:$E$33,AK15)&gt;0,2,0.5),IF(OR(AK15='Resultats Reals'!$C$32,AK15='Resultats Reals'!$C$33,COUNTIF('Resultats Reals'!$E$2:$E$33,AK15)&gt;0),1,0))+IF(AL15='Resultats Reals'!$C$37,IF(COUNTIF('Resultats Reals'!$E$2:$E$33,AL15)&gt;0,2,0.5),IF(OR(AL15='Resultats Reals'!$C$35,AL15='Resultats Reals'!$C$36,COUNTIF('Resultats Reals'!$E$2:$E$33,AL15)&gt;0),1,0))</f>
        <v>15</v>
      </c>
      <c r="BX15">
        <f>IF(COUNTIF('Resultats Reals'!$F$2:$F$17,AM15)&gt;0,1,0)+IF(COUNTIF('Resultats Reals'!$F$2:$F$17,AN15)&gt;0,1,0)+IF(COUNTIF('Resultats Reals'!$F$2:$F$17,AO15)&gt;0,1,0)+IF(COUNTIF('Resultats Reals'!$F$2:$F$17,AP15)&gt;0,1,0)+IF(COUNTIF('Resultats Reals'!$F$2:$F$17,AQ15)&gt;0,1,0)+IF(COUNTIF('Resultats Reals'!$F$2:$F$17,AR15)&gt;0,1,0)+IF(COUNTIF('Resultats Reals'!$F$2:$F$17,AS15)&gt;0,1,0)+IF(COUNTIF('Resultats Reals'!$F$2:$F$17,AT15)&gt;0,1,0)+IF(COUNTIF('Resultats Reals'!$F$2:$F$17,AU15)&gt;0,1,0)+IF(COUNTIF('Resultats Reals'!$F$2:$F$17,AV15)&gt;0,1,0)+IF(COUNTIF('Resultats Reals'!$F$2:$F$17,AW15)&gt;0,1,0)+IF(COUNTIF('Resultats Reals'!$F$2:$F$17,AX15)&gt;0,1,0)+IF(COUNTIF('Resultats Reals'!$F$2:$F$17,AY15)&gt;0,1,0)+IF(COUNTIF('Resultats Reals'!$F$2:$F$17,AZ15)&gt;0,1,0)+IF(COUNTIF('Resultats Reals'!$F$2:$F$17,BA15)&gt;0,1,0)+IF(COUNTIF('Resultats Reals'!$F$2:$F$17,BB15)&gt;0,1,0)</f>
        <v>13</v>
      </c>
      <c r="BY15">
        <f>IF(COUNTIF('Resultats Reals'!$G$2:$G$9,BC15)&gt;0,1,0)+IF(COUNTIF('Resultats Reals'!$G$2:$G$9,BD15)&gt;0,1,0)+IF(COUNTIF('Resultats Reals'!$G$2:$G$9,BE15)&gt;0,1,0)+IF(COUNTIF('Resultats Reals'!$G$2:$G$9,BF15)&gt;0,1,0)+IF(COUNTIF('Resultats Reals'!$G$2:$G$9,BG15)&gt;0,1,0)+IF(COUNTIF('Resultats Reals'!$G$2:$G$9,BH15)&gt;0,1,0)+IF(COUNTIF('Resultats Reals'!$G$2:$G$9,BI15)&gt;0,1,0)+IF(COUNTIF('Resultats Reals'!$G$2:$G$9,BJ15)&gt;0,1,0)</f>
        <v>6</v>
      </c>
      <c r="BZ15">
        <f>IF(COUNTIF('Resultats Reals'!$H$2:$H$5,BK15)&gt;0,1,0)+IF(COUNTIF('Resultats Reals'!$H$2:$H$5,BL15)&gt;0,1,0)+IF(COUNTIF('Resultats Reals'!$H$2:$H$5,BM15)&gt;0,1,0)+IF(COUNTIF('Resultats Reals'!$H$2:$H$5,BN15)&gt;0,1,0)</f>
        <v>3</v>
      </c>
      <c r="CA15">
        <f>IF(COUNTIF('Resultats Reals'!$I$2:$I$3,BO15)&gt;0,3,0)+IF(COUNTIF('Resultats Reals'!$I$2:$I$3,BP15)&gt;0,3,0)</f>
        <v>0</v>
      </c>
      <c r="CB15">
        <f>IF(BQ15='Resultats Reals'!$J$2,5,0)</f>
        <v>0</v>
      </c>
      <c r="CC15">
        <f>IF(BS15='Resultats Reals'!$K$2,5,0)</f>
        <v>0</v>
      </c>
      <c r="CD15">
        <f>IFERROR(VLOOKUP(BT15,'Resultats Reals'!$N$2:$O$100,2,FALSE),0)</f>
        <v>8</v>
      </c>
      <c r="CE15">
        <f>IF(BR15='Resultats Reals'!$L$2,5,0)</f>
        <v>0</v>
      </c>
      <c r="CF15" s="7">
        <f t="shared" si="0"/>
        <v>79</v>
      </c>
    </row>
    <row r="16" spans="1:84" x14ac:dyDescent="0.25">
      <c r="A16" t="s">
        <v>136</v>
      </c>
      <c r="B16" t="s">
        <v>85</v>
      </c>
      <c r="C16" t="s">
        <v>86</v>
      </c>
      <c r="D16" t="s">
        <v>87</v>
      </c>
      <c r="E16" t="s">
        <v>88</v>
      </c>
      <c r="F16" t="s">
        <v>101</v>
      </c>
      <c r="G16" t="s">
        <v>90</v>
      </c>
      <c r="H16" t="s">
        <v>91</v>
      </c>
      <c r="I16" t="s">
        <v>92</v>
      </c>
      <c r="J16" t="s">
        <v>93</v>
      </c>
      <c r="K16" t="s">
        <v>94</v>
      </c>
      <c r="L16" t="s">
        <v>95</v>
      </c>
      <c r="M16" t="s">
        <v>96</v>
      </c>
      <c r="N16" t="s">
        <v>97</v>
      </c>
      <c r="O16" t="s">
        <v>98</v>
      </c>
      <c r="P16" t="s">
        <v>99</v>
      </c>
      <c r="Q16" t="s">
        <v>100</v>
      </c>
      <c r="R16" t="s">
        <v>89</v>
      </c>
      <c r="S16" t="s">
        <v>102</v>
      </c>
      <c r="T16" t="s">
        <v>114</v>
      </c>
      <c r="U16" t="s">
        <v>104</v>
      </c>
      <c r="V16" t="s">
        <v>105</v>
      </c>
      <c r="W16" t="s">
        <v>117</v>
      </c>
      <c r="X16" t="s">
        <v>118</v>
      </c>
      <c r="Y16" t="s">
        <v>108</v>
      </c>
      <c r="Z16" t="s">
        <v>109</v>
      </c>
      <c r="AA16" t="s">
        <v>110</v>
      </c>
      <c r="AB16" t="s">
        <v>245</v>
      </c>
      <c r="AC16" t="s">
        <v>111</v>
      </c>
      <c r="AD16" t="s">
        <v>126</v>
      </c>
      <c r="AE16" t="s">
        <v>113</v>
      </c>
      <c r="AF16" t="s">
        <v>103</v>
      </c>
      <c r="AG16" t="s">
        <v>115</v>
      </c>
      <c r="AH16" t="s">
        <v>116</v>
      </c>
      <c r="AI16" t="s">
        <v>106</v>
      </c>
      <c r="AJ16" t="s">
        <v>107</v>
      </c>
      <c r="AK16" t="s">
        <v>119</v>
      </c>
      <c r="AL16" t="s">
        <v>120</v>
      </c>
      <c r="AM16" t="s">
        <v>88</v>
      </c>
      <c r="AN16" t="s">
        <v>90</v>
      </c>
      <c r="AO16" t="s">
        <v>100</v>
      </c>
      <c r="AP16" t="s">
        <v>93</v>
      </c>
      <c r="AQ16" t="s">
        <v>92</v>
      </c>
      <c r="AR16" t="s">
        <v>91</v>
      </c>
      <c r="AS16" t="s">
        <v>95</v>
      </c>
      <c r="AT16" t="s">
        <v>94</v>
      </c>
      <c r="AU16" t="s">
        <v>97</v>
      </c>
      <c r="AV16" t="s">
        <v>109</v>
      </c>
      <c r="AW16" t="s">
        <v>96</v>
      </c>
      <c r="AX16" t="s">
        <v>105</v>
      </c>
      <c r="AY16" t="s">
        <v>102</v>
      </c>
      <c r="AZ16" t="s">
        <v>101</v>
      </c>
      <c r="BA16" t="s">
        <v>108</v>
      </c>
      <c r="BB16" t="s">
        <v>106</v>
      </c>
      <c r="BC16" t="s">
        <v>93</v>
      </c>
      <c r="BD16" t="s">
        <v>95</v>
      </c>
      <c r="BE16" t="s">
        <v>94</v>
      </c>
      <c r="BF16" t="s">
        <v>88</v>
      </c>
      <c r="BG16" t="s">
        <v>90</v>
      </c>
      <c r="BH16" t="s">
        <v>100</v>
      </c>
      <c r="BI16" t="s">
        <v>96</v>
      </c>
      <c r="BJ16" t="s">
        <v>91</v>
      </c>
      <c r="BK16" t="s">
        <v>93</v>
      </c>
      <c r="BL16" t="s">
        <v>88</v>
      </c>
      <c r="BM16" t="s">
        <v>95</v>
      </c>
      <c r="BN16" t="s">
        <v>94</v>
      </c>
      <c r="BO16" t="s">
        <v>93</v>
      </c>
      <c r="BP16" t="s">
        <v>94</v>
      </c>
      <c r="BQ16" t="s">
        <v>93</v>
      </c>
      <c r="BS16" t="s">
        <v>121</v>
      </c>
      <c r="BT16" t="s">
        <v>128</v>
      </c>
      <c r="BU16">
        <f>IF(C16='Resultats Reals'!$C$2,2,IF(OR(C16='Resultats Reals'!$C$3,COUNTIF('Resultats Reals'!$E$2:$E$33,C16)&gt;0),1,0))+IF(D16='Resultats Reals'!$C$5,2,IF(OR(D16='Resultats Reals'!$C$6,COUNTIF('Resultats Reals'!$E$2:$E$33,D16)&gt;0),1,0))+IF(E16='Resultats Reals'!$C$8,2,IF(OR(E16='Resultats Reals'!$C$9,COUNTIF('Resultats Reals'!$E$2:$E$33,E16)&gt;0),1,0))+IF(F16='Resultats Reals'!$C$11,2,IF(OR(F16='Resultats Reals'!$C$12,COUNTIF('Resultats Reals'!$E$2:$E$33,F16)&gt;0),1,0))+IF(G16='Resultats Reals'!$C$14,2,IF(OR(G16='Resultats Reals'!$C$15,COUNTIF('Resultats Reals'!$E$2:$E$33,G16)&gt;0),1,0))+IF(H16='Resultats Reals'!$C$17,2,IF(OR(H16='Resultats Reals'!$C$18,COUNTIF('Resultats Reals'!$E$2:$E$33,H16)&gt;0),1,0))+IF(I16='Resultats Reals'!$C$20,2,IF(OR(I16='Resultats Reals'!$C$21,COUNTIF('Resultats Reals'!$E$2:$E$33,I16)&gt;0),1,0))+IF(J16='Resultats Reals'!$C$23,2,IF(OR(J16='Resultats Reals'!$C$24,COUNTIF('Resultats Reals'!$E$2:$E$33,J16)&gt;0),1,0))+IF(K16='Resultats Reals'!$C$26,2,IF(OR(K16='Resultats Reals'!$C$27,COUNTIF('Resultats Reals'!$E$2:$E$33,K16)&gt;0),1,0))+IF(L16='Resultats Reals'!$C$29,2,IF(OR(L16='Resultats Reals'!$C$30,COUNTIF('Resultats Reals'!$E$2:$E$33,L16)&gt;0),1,0))+IF(M16='Resultats Reals'!$C$32,2,IF(OR(M16='Resultats Reals'!$C$33,COUNTIF('Resultats Reals'!$E$2:$E$33,M16)&gt;0),1,0))+IF(N16='Resultats Reals'!$C$35,2,IF(OR(N16='Resultats Reals'!$C$36,COUNTIF('Resultats Reals'!$E$2:$E$33,N16)&gt;0),1,0))</f>
        <v>21</v>
      </c>
      <c r="BV16">
        <f>IF(O16='Resultats Reals'!$C$3,2,IF(OR(O16='Resultats Reals'!$C$2,COUNTIF('Resultats Reals'!$E$2:$E$33,O16)&gt;0),1,0))+IF(P16='Resultats Reals'!$C$6,2,IF(OR(P16='Resultats Reals'!$C$5,COUNTIF('Resultats Reals'!$E$2:$E$33,P16)&gt;0),1,0))+IF(Q16='Resultats Reals'!$C$9,2,IF(OR(Q16='Resultats Reals'!$C$8,COUNTIF('Resultats Reals'!$E$2:$E$33,Q16)&gt;0),1,0))+IF(R16='Resultats Reals'!$C$12,2,IF(OR(R16='Resultats Reals'!$C$11,COUNTIF('Resultats Reals'!$E$2:$E$33,R16)&gt;0),1,0))+IF(S16='Resultats Reals'!$C$15,2,IF(OR(S16='Resultats Reals'!$C$14,COUNTIF('Resultats Reals'!$E$2:$E$33,S16)&gt;0),1,0))+IF(T16='Resultats Reals'!$C$18,2,IF(OR(T16='Resultats Reals'!$C$17,COUNTIF('Resultats Reals'!$E$2:$E$33,T16)&gt;0),1,0))+IF(U16='Resultats Reals'!$C$21,2,IF(OR(U16='Resultats Reals'!$C$20,COUNTIF('Resultats Reals'!$E$2:$E$33,U16)&gt;0),1,0))+IF(V16='Resultats Reals'!$C$24,2,IF(OR(V16='Resultats Reals'!$C$23,COUNTIF('Resultats Reals'!$E$2:$E$33,V16)&gt;0),1,0))+IF(W16='Resultats Reals'!$C$27,2,IF(OR(W16='Resultats Reals'!$C$26,COUNTIF('Resultats Reals'!$E$2:$E$33,W16)&gt;0),1,0))+IF(X16='Resultats Reals'!$C$30,2,IF(OR(X16='Resultats Reals'!$C$29,COUNTIF('Resultats Reals'!$E$2:$E$33,X16)&gt;0),1,0))+IF(Y16='Resultats Reals'!$C$33,2,IF(OR(Y16='Resultats Reals'!$C$32,COUNTIF('Resultats Reals'!$E$2:$E$33,Y16)&gt;0),1,0))+IF(Z16='Resultats Reals'!$C$36,2,IF(OR(Z16='Resultats Reals'!$C$35,COUNTIF('Resultats Reals'!$E$2:$E$33,Z16)&gt;0),1,0))</f>
        <v>16</v>
      </c>
      <c r="BW16">
        <f>IF(AA16='Resultats Reals'!$C$4,IF(COUNTIF('Resultats Reals'!$E$2:$E$33,AA16)&gt;0,2,0.5),IF(OR(AA16='Resultats Reals'!$C$2,AA16='Resultats Reals'!$C$3,COUNTIF('Resultats Reals'!$E$2:$E$33,AA16)&gt;0),1,0))+IF(AB16='Resultats Reals'!$C$7,IF(COUNTIF('Resultats Reals'!$E$2:$E$33,AB16)&gt;0,2,0.5),IF(OR(AB16='Resultats Reals'!$C$5,AB16='Resultats Reals'!$C$6,COUNTIF('Resultats Reals'!$E$2:$E$33,AB16)&gt;0),1,0))+IF(AC16='Resultats Reals'!$C$10,IF(COUNTIF('Resultats Reals'!$E$2:$E$33,AC16)&gt;0,2,0.5),IF(OR(AC16='Resultats Reals'!$C$8,AC16='Resultats Reals'!$C$9,COUNTIF('Resultats Reals'!$E$2:$E$33,AC16)&gt;0),1,0))+IF(AD16='Resultats Reals'!$C$13,IF(COUNTIF('Resultats Reals'!$E$2:$E$33,AD16)&gt;0,2,0.5),IF(OR(AD16='Resultats Reals'!$C$11,AD16='Resultats Reals'!$C$12,COUNTIF('Resultats Reals'!$E$2:$E$33,AD16)&gt;0),1,0))+IF(AE16='Resultats Reals'!$C$16,IF(COUNTIF('Resultats Reals'!$E$2:$E$33,AE16)&gt;0,2,0.5),IF(OR(AE16='Resultats Reals'!$C$14,AE16='Resultats Reals'!$C$15,COUNTIF('Resultats Reals'!$E$2:$E$33,AE16)&gt;0),1,0))+IF(AF16='Resultats Reals'!$C$19,IF(COUNTIF('Resultats Reals'!$E$2:$E$33,AF16)&gt;0,2,0.5),IF(OR(AF16='Resultats Reals'!$C$17,AF16='Resultats Reals'!$C$18,COUNTIF('Resultats Reals'!$E$2:$E$33,AF16)&gt;0),1,0))+IF(AG16='Resultats Reals'!$C$22,IF(COUNTIF('Resultats Reals'!$E$2:$E$33,AG16)&gt;0,2,0.5),IF(OR(AG16='Resultats Reals'!$C$20,AG16='Resultats Reals'!$C$21,COUNTIF('Resultats Reals'!$E$2:$E$33,AG16)&gt;0),1,0))+IF(AH16='Resultats Reals'!$C$25,IF(COUNTIF('Resultats Reals'!$E$2:$E$33,AH16)&gt;0,2,0.5),IF(OR(AH16='Resultats Reals'!$C$23,AH16='Resultats Reals'!$C$24,COUNTIF('Resultats Reals'!$E$2:$E$33,AH16)&gt;0),1,0))+IF(AI16='Resultats Reals'!$C$28,IF(COUNTIF('Resultats Reals'!$E$2:$E$33,AI16)&gt;0,2,0.5),IF(OR(AI16='Resultats Reals'!$C$26,AI16='Resultats Reals'!$C$27,COUNTIF('Resultats Reals'!$E$2:$E$33,AI16)&gt;0),1,0))+IF(AJ16='Resultats Reals'!$C$31,IF(COUNTIF('Resultats Reals'!$E$2:$E$33,AJ16)&gt;0,2,0.5),IF(OR(AJ16='Resultats Reals'!$C$29,AJ16='Resultats Reals'!$C$30,COUNTIF('Resultats Reals'!$E$2:$E$33,AJ16)&gt;0),1,0))+IF(AK16='Resultats Reals'!$C$34,IF(COUNTIF('Resultats Reals'!$E$2:$E$33,AK16)&gt;0,2,0.5),IF(OR(AK16='Resultats Reals'!$C$32,AK16='Resultats Reals'!$C$33,COUNTIF('Resultats Reals'!$E$2:$E$33,AK16)&gt;0),1,0))+IF(AL16='Resultats Reals'!$C$37,IF(COUNTIF('Resultats Reals'!$E$2:$E$33,AL16)&gt;0,2,0.5),IF(OR(AL16='Resultats Reals'!$C$35,AL16='Resultats Reals'!$C$36,COUNTIF('Resultats Reals'!$E$2:$E$33,AL16)&gt;0),1,0))</f>
        <v>12</v>
      </c>
      <c r="BX16">
        <f>IF(COUNTIF('Resultats Reals'!$F$2:$F$17,AM16)&gt;0,1,0)+IF(COUNTIF('Resultats Reals'!$F$2:$F$17,AN16)&gt;0,1,0)+IF(COUNTIF('Resultats Reals'!$F$2:$F$17,AO16)&gt;0,1,0)+IF(COUNTIF('Resultats Reals'!$F$2:$F$17,AP16)&gt;0,1,0)+IF(COUNTIF('Resultats Reals'!$F$2:$F$17,AQ16)&gt;0,1,0)+IF(COUNTIF('Resultats Reals'!$F$2:$F$17,AR16)&gt;0,1,0)+IF(COUNTIF('Resultats Reals'!$F$2:$F$17,AS16)&gt;0,1,0)+IF(COUNTIF('Resultats Reals'!$F$2:$F$17,AT16)&gt;0,1,0)+IF(COUNTIF('Resultats Reals'!$F$2:$F$17,AU16)&gt;0,1,0)+IF(COUNTIF('Resultats Reals'!$F$2:$F$17,AV16)&gt;0,1,0)+IF(COUNTIF('Resultats Reals'!$F$2:$F$17,AW16)&gt;0,1,0)+IF(COUNTIF('Resultats Reals'!$F$2:$F$17,AX16)&gt;0,1,0)+IF(COUNTIF('Resultats Reals'!$F$2:$F$17,AY16)&gt;0,1,0)+IF(COUNTIF('Resultats Reals'!$F$2:$F$17,AZ16)&gt;0,1,0)+IF(COUNTIF('Resultats Reals'!$F$2:$F$17,BA16)&gt;0,1,0)+IF(COUNTIF('Resultats Reals'!$F$2:$F$17,BB16)&gt;0,1,0)</f>
        <v>9</v>
      </c>
      <c r="BY16">
        <f>IF(COUNTIF('Resultats Reals'!$G$2:$G$9,BC16)&gt;0,1,0)+IF(COUNTIF('Resultats Reals'!$G$2:$G$9,BD16)&gt;0,1,0)+IF(COUNTIF('Resultats Reals'!$G$2:$G$9,BE16)&gt;0,1,0)+IF(COUNTIF('Resultats Reals'!$G$2:$G$9,BF16)&gt;0,1,0)+IF(COUNTIF('Resultats Reals'!$G$2:$G$9,BG16)&gt;0,1,0)+IF(COUNTIF('Resultats Reals'!$G$2:$G$9,BH16)&gt;0,1,0)+IF(COUNTIF('Resultats Reals'!$G$2:$G$9,BI16)&gt;0,1,0)+IF(COUNTIF('Resultats Reals'!$G$2:$G$9,BJ16)&gt;0,1,0)</f>
        <v>4</v>
      </c>
      <c r="BZ16">
        <f>IF(COUNTIF('Resultats Reals'!$H$2:$H$5,BK16)&gt;0,1,0)+IF(COUNTIF('Resultats Reals'!$H$2:$H$5,BL16)&gt;0,1,0)+IF(COUNTIF('Resultats Reals'!$H$2:$H$5,BM16)&gt;0,1,0)+IF(COUNTIF('Resultats Reals'!$H$2:$H$5,BN16)&gt;0,1,0)</f>
        <v>3</v>
      </c>
      <c r="CA16">
        <f>IF(COUNTIF('Resultats Reals'!$I$2:$I$3,BO16)&gt;0,3,0)+IF(COUNTIF('Resultats Reals'!$I$2:$I$3,BP16)&gt;0,3,0)</f>
        <v>0</v>
      </c>
      <c r="CB16">
        <f>IF(BQ16='Resultats Reals'!$J$2,5,0)</f>
        <v>0</v>
      </c>
      <c r="CC16">
        <f>IF(BS16='Resultats Reals'!$K$2,5,0)</f>
        <v>0</v>
      </c>
      <c r="CD16">
        <f>IFERROR(VLOOKUP(BT16,'Resultats Reals'!$N$2:$O$100,2,FALSE),0)</f>
        <v>8</v>
      </c>
      <c r="CE16">
        <f>IF(BR16='Resultats Reals'!$L$2,5,0)</f>
        <v>0</v>
      </c>
      <c r="CF16" s="7">
        <f t="shared" si="0"/>
        <v>73</v>
      </c>
    </row>
    <row r="17" spans="1:84" x14ac:dyDescent="0.25">
      <c r="A17" t="s">
        <v>153</v>
      </c>
      <c r="B17" t="s">
        <v>135</v>
      </c>
      <c r="C17" t="s">
        <v>98</v>
      </c>
      <c r="D17" t="s">
        <v>99</v>
      </c>
      <c r="E17" t="s">
        <v>100</v>
      </c>
      <c r="F17" t="s">
        <v>112</v>
      </c>
      <c r="G17" t="s">
        <v>90</v>
      </c>
      <c r="H17" t="s">
        <v>114</v>
      </c>
      <c r="I17" t="s">
        <v>104</v>
      </c>
      <c r="J17" t="s">
        <v>93</v>
      </c>
      <c r="K17" t="s">
        <v>94</v>
      </c>
      <c r="L17" t="s">
        <v>95</v>
      </c>
      <c r="M17" t="s">
        <v>96</v>
      </c>
      <c r="N17" t="s">
        <v>97</v>
      </c>
      <c r="O17" t="s">
        <v>86</v>
      </c>
      <c r="P17" t="s">
        <v>87</v>
      </c>
      <c r="Q17" t="s">
        <v>88</v>
      </c>
      <c r="R17" t="s">
        <v>89</v>
      </c>
      <c r="S17" t="s">
        <v>102</v>
      </c>
      <c r="T17" t="s">
        <v>91</v>
      </c>
      <c r="U17" t="s">
        <v>92</v>
      </c>
      <c r="V17" t="s">
        <v>105</v>
      </c>
      <c r="W17" t="s">
        <v>117</v>
      </c>
      <c r="X17" t="s">
        <v>118</v>
      </c>
      <c r="Y17" t="s">
        <v>108</v>
      </c>
      <c r="Z17" t="s">
        <v>120</v>
      </c>
      <c r="AA17" t="s">
        <v>110</v>
      </c>
      <c r="AB17" t="s">
        <v>125</v>
      </c>
      <c r="AC17" t="s">
        <v>111</v>
      </c>
      <c r="AD17" t="s">
        <v>126</v>
      </c>
      <c r="AE17" t="s">
        <v>113</v>
      </c>
      <c r="AF17" t="s">
        <v>103</v>
      </c>
      <c r="AG17" t="s">
        <v>138</v>
      </c>
      <c r="AH17" t="s">
        <v>116</v>
      </c>
      <c r="AI17" t="s">
        <v>106</v>
      </c>
      <c r="AJ17" t="s">
        <v>107</v>
      </c>
      <c r="AK17" t="s">
        <v>127</v>
      </c>
      <c r="AL17" t="s">
        <v>109</v>
      </c>
      <c r="AM17" t="s">
        <v>90</v>
      </c>
      <c r="AN17" t="s">
        <v>94</v>
      </c>
      <c r="AO17" t="s">
        <v>88</v>
      </c>
      <c r="AP17" t="s">
        <v>114</v>
      </c>
      <c r="AQ17" t="s">
        <v>120</v>
      </c>
      <c r="AR17" t="s">
        <v>93</v>
      </c>
      <c r="AS17" t="s">
        <v>112</v>
      </c>
      <c r="AT17" t="s">
        <v>104</v>
      </c>
      <c r="AU17" t="s">
        <v>100</v>
      </c>
      <c r="AV17" t="s">
        <v>117</v>
      </c>
      <c r="AW17" t="s">
        <v>86</v>
      </c>
      <c r="AX17" t="s">
        <v>97</v>
      </c>
      <c r="AY17" t="s">
        <v>95</v>
      </c>
      <c r="AZ17" t="s">
        <v>92</v>
      </c>
      <c r="BA17" t="s">
        <v>96</v>
      </c>
      <c r="BB17" t="s">
        <v>109</v>
      </c>
      <c r="BC17" t="s">
        <v>94</v>
      </c>
      <c r="BD17" t="s">
        <v>114</v>
      </c>
      <c r="BE17" t="s">
        <v>93</v>
      </c>
      <c r="BF17" t="s">
        <v>90</v>
      </c>
      <c r="BG17" t="s">
        <v>100</v>
      </c>
      <c r="BH17" t="s">
        <v>97</v>
      </c>
      <c r="BI17" t="s">
        <v>96</v>
      </c>
      <c r="BJ17" t="s">
        <v>104</v>
      </c>
      <c r="BK17" t="s">
        <v>94</v>
      </c>
      <c r="BL17" t="s">
        <v>93</v>
      </c>
      <c r="BM17" t="s">
        <v>97</v>
      </c>
      <c r="BN17" t="s">
        <v>96</v>
      </c>
      <c r="BO17" t="s">
        <v>93</v>
      </c>
      <c r="BP17" t="s">
        <v>97</v>
      </c>
      <c r="BQ17" t="s">
        <v>93</v>
      </c>
      <c r="BS17" t="s">
        <v>154</v>
      </c>
      <c r="BT17" t="s">
        <v>128</v>
      </c>
      <c r="BU17">
        <f>IF(C17='Resultats Reals'!$C$2,2,IF(OR(C17='Resultats Reals'!$C$3,COUNTIF('Resultats Reals'!$E$2:$E$33,C17)&gt;0),1,0))+IF(D17='Resultats Reals'!$C$5,2,IF(OR(D17='Resultats Reals'!$C$6,COUNTIF('Resultats Reals'!$E$2:$E$33,D17)&gt;0),1,0))+IF(E17='Resultats Reals'!$C$8,2,IF(OR(E17='Resultats Reals'!$C$9,COUNTIF('Resultats Reals'!$E$2:$E$33,E17)&gt;0),1,0))+IF(F17='Resultats Reals'!$C$11,2,IF(OR(F17='Resultats Reals'!$C$12,COUNTIF('Resultats Reals'!$E$2:$E$33,F17)&gt;0),1,0))+IF(G17='Resultats Reals'!$C$14,2,IF(OR(G17='Resultats Reals'!$C$15,COUNTIF('Resultats Reals'!$E$2:$E$33,G17)&gt;0),1,0))+IF(H17='Resultats Reals'!$C$17,2,IF(OR(H17='Resultats Reals'!$C$18,COUNTIF('Resultats Reals'!$E$2:$E$33,H17)&gt;0),1,0))+IF(I17='Resultats Reals'!$C$20,2,IF(OR(I17='Resultats Reals'!$C$21,COUNTIF('Resultats Reals'!$E$2:$E$33,I17)&gt;0),1,0))+IF(J17='Resultats Reals'!$C$23,2,IF(OR(J17='Resultats Reals'!$C$24,COUNTIF('Resultats Reals'!$E$2:$E$33,J17)&gt;0),1,0))+IF(K17='Resultats Reals'!$C$26,2,IF(OR(K17='Resultats Reals'!$C$27,COUNTIF('Resultats Reals'!$E$2:$E$33,K17)&gt;0),1,0))+IF(L17='Resultats Reals'!$C$29,2,IF(OR(L17='Resultats Reals'!$C$30,COUNTIF('Resultats Reals'!$E$2:$E$33,L17)&gt;0),1,0))+IF(M17='Resultats Reals'!$C$32,2,IF(OR(M17='Resultats Reals'!$C$33,COUNTIF('Resultats Reals'!$E$2:$E$33,M17)&gt;0),1,0))+IF(N17='Resultats Reals'!$C$35,2,IF(OR(N17='Resultats Reals'!$C$36,COUNTIF('Resultats Reals'!$E$2:$E$33,N17)&gt;0),1,0))</f>
        <v>16</v>
      </c>
      <c r="BV17">
        <f>IF(O17='Resultats Reals'!$C$3,2,IF(OR(O17='Resultats Reals'!$C$2,COUNTIF('Resultats Reals'!$E$2:$E$33,O17)&gt;0),1,0))+IF(P17='Resultats Reals'!$C$6,2,IF(OR(P17='Resultats Reals'!$C$5,COUNTIF('Resultats Reals'!$E$2:$E$33,P17)&gt;0),1,0))+IF(Q17='Resultats Reals'!$C$9,2,IF(OR(Q17='Resultats Reals'!$C$8,COUNTIF('Resultats Reals'!$E$2:$E$33,Q17)&gt;0),1,0))+IF(R17='Resultats Reals'!$C$12,2,IF(OR(R17='Resultats Reals'!$C$11,COUNTIF('Resultats Reals'!$E$2:$E$33,R17)&gt;0),1,0))+IF(S17='Resultats Reals'!$C$15,2,IF(OR(S17='Resultats Reals'!$C$14,COUNTIF('Resultats Reals'!$E$2:$E$33,S17)&gt;0),1,0))+IF(T17='Resultats Reals'!$C$18,2,IF(OR(T17='Resultats Reals'!$C$17,COUNTIF('Resultats Reals'!$E$2:$E$33,T17)&gt;0),1,0))+IF(U17='Resultats Reals'!$C$21,2,IF(OR(U17='Resultats Reals'!$C$20,COUNTIF('Resultats Reals'!$E$2:$E$33,U17)&gt;0),1,0))+IF(V17='Resultats Reals'!$C$24,2,IF(OR(V17='Resultats Reals'!$C$23,COUNTIF('Resultats Reals'!$E$2:$E$33,V17)&gt;0),1,0))+IF(W17='Resultats Reals'!$C$27,2,IF(OR(W17='Resultats Reals'!$C$26,COUNTIF('Resultats Reals'!$E$2:$E$33,W17)&gt;0),1,0))+IF(X17='Resultats Reals'!$C$30,2,IF(OR(X17='Resultats Reals'!$C$29,COUNTIF('Resultats Reals'!$E$2:$E$33,X17)&gt;0),1,0))+IF(Y17='Resultats Reals'!$C$33,2,IF(OR(Y17='Resultats Reals'!$C$32,COUNTIF('Resultats Reals'!$E$2:$E$33,Y17)&gt;0),1,0))+IF(Z17='Resultats Reals'!$C$36,2,IF(OR(Z17='Resultats Reals'!$C$35,COUNTIF('Resultats Reals'!$E$2:$E$33,Z17)&gt;0),1,0))</f>
        <v>12</v>
      </c>
      <c r="BW17">
        <f>IF(AA17='Resultats Reals'!$C$4,IF(COUNTIF('Resultats Reals'!$E$2:$E$33,AA17)&gt;0,2,0.5),IF(OR(AA17='Resultats Reals'!$C$2,AA17='Resultats Reals'!$C$3,COUNTIF('Resultats Reals'!$E$2:$E$33,AA17)&gt;0),1,0))+IF(AB17='Resultats Reals'!$C$7,IF(COUNTIF('Resultats Reals'!$E$2:$E$33,AB17)&gt;0,2,0.5),IF(OR(AB17='Resultats Reals'!$C$5,AB17='Resultats Reals'!$C$6,COUNTIF('Resultats Reals'!$E$2:$E$33,AB17)&gt;0),1,0))+IF(AC17='Resultats Reals'!$C$10,IF(COUNTIF('Resultats Reals'!$E$2:$E$33,AC17)&gt;0,2,0.5),IF(OR(AC17='Resultats Reals'!$C$8,AC17='Resultats Reals'!$C$9,COUNTIF('Resultats Reals'!$E$2:$E$33,AC17)&gt;0),1,0))+IF(AD17='Resultats Reals'!$C$13,IF(COUNTIF('Resultats Reals'!$E$2:$E$33,AD17)&gt;0,2,0.5),IF(OR(AD17='Resultats Reals'!$C$11,AD17='Resultats Reals'!$C$12,COUNTIF('Resultats Reals'!$E$2:$E$33,AD17)&gt;0),1,0))+IF(AE17='Resultats Reals'!$C$16,IF(COUNTIF('Resultats Reals'!$E$2:$E$33,AE17)&gt;0,2,0.5),IF(OR(AE17='Resultats Reals'!$C$14,AE17='Resultats Reals'!$C$15,COUNTIF('Resultats Reals'!$E$2:$E$33,AE17)&gt;0),1,0))+IF(AF17='Resultats Reals'!$C$19,IF(COUNTIF('Resultats Reals'!$E$2:$E$33,AF17)&gt;0,2,0.5),IF(OR(AF17='Resultats Reals'!$C$17,AF17='Resultats Reals'!$C$18,COUNTIF('Resultats Reals'!$E$2:$E$33,AF17)&gt;0),1,0))+IF(AG17='Resultats Reals'!$C$22,IF(COUNTIF('Resultats Reals'!$E$2:$E$33,AG17)&gt;0,2,0.5),IF(OR(AG17='Resultats Reals'!$C$20,AG17='Resultats Reals'!$C$21,COUNTIF('Resultats Reals'!$E$2:$E$33,AG17)&gt;0),1,0))+IF(AH17='Resultats Reals'!$C$25,IF(COUNTIF('Resultats Reals'!$E$2:$E$33,AH17)&gt;0,2,0.5),IF(OR(AH17='Resultats Reals'!$C$23,AH17='Resultats Reals'!$C$24,COUNTIF('Resultats Reals'!$E$2:$E$33,AH17)&gt;0),1,0))+IF(AI17='Resultats Reals'!$C$28,IF(COUNTIF('Resultats Reals'!$E$2:$E$33,AI17)&gt;0,2,0.5),IF(OR(AI17='Resultats Reals'!$C$26,AI17='Resultats Reals'!$C$27,COUNTIF('Resultats Reals'!$E$2:$E$33,AI17)&gt;0),1,0))+IF(AJ17='Resultats Reals'!$C$31,IF(COUNTIF('Resultats Reals'!$E$2:$E$33,AJ17)&gt;0,2,0.5),IF(OR(AJ17='Resultats Reals'!$C$29,AJ17='Resultats Reals'!$C$30,COUNTIF('Resultats Reals'!$E$2:$E$33,AJ17)&gt;0),1,0))+IF(AK17='Resultats Reals'!$C$34,IF(COUNTIF('Resultats Reals'!$E$2:$E$33,AK17)&gt;0,2,0.5),IF(OR(AK17='Resultats Reals'!$C$32,AK17='Resultats Reals'!$C$33,COUNTIF('Resultats Reals'!$E$2:$E$33,AK17)&gt;0),1,0))+IF(AL17='Resultats Reals'!$C$37,IF(COUNTIF('Resultats Reals'!$E$2:$E$33,AL17)&gt;0,2,0.5),IF(OR(AL17='Resultats Reals'!$C$35,AL17='Resultats Reals'!$C$36,COUNTIF('Resultats Reals'!$E$2:$E$33,AL17)&gt;0),1,0))</f>
        <v>10.5</v>
      </c>
      <c r="BX17">
        <f>IF(COUNTIF('Resultats Reals'!$F$2:$F$17,AM17)&gt;0,1,0)+IF(COUNTIF('Resultats Reals'!$F$2:$F$17,AN17)&gt;0,1,0)+IF(COUNTIF('Resultats Reals'!$F$2:$F$17,AO17)&gt;0,1,0)+IF(COUNTIF('Resultats Reals'!$F$2:$F$17,AP17)&gt;0,1,0)+IF(COUNTIF('Resultats Reals'!$F$2:$F$17,AQ17)&gt;0,1,0)+IF(COUNTIF('Resultats Reals'!$F$2:$F$17,AR17)&gt;0,1,0)+IF(COUNTIF('Resultats Reals'!$F$2:$F$17,AS17)&gt;0,1,0)+IF(COUNTIF('Resultats Reals'!$F$2:$F$17,AT17)&gt;0,1,0)+IF(COUNTIF('Resultats Reals'!$F$2:$F$17,AU17)&gt;0,1,0)+IF(COUNTIF('Resultats Reals'!$F$2:$F$17,AV17)&gt;0,1,0)+IF(COUNTIF('Resultats Reals'!$F$2:$F$17,AW17)&gt;0,1,0)+IF(COUNTIF('Resultats Reals'!$F$2:$F$17,AX17)&gt;0,1,0)+IF(COUNTIF('Resultats Reals'!$F$2:$F$17,AY17)&gt;0,1,0)+IF(COUNTIF('Resultats Reals'!$F$2:$F$17,AZ17)&gt;0,1,0)+IF(COUNTIF('Resultats Reals'!$F$2:$F$17,BA17)&gt;0,1,0)+IF(COUNTIF('Resultats Reals'!$F$2:$F$17,BB17)&gt;0,1,0)</f>
        <v>12</v>
      </c>
      <c r="BY17">
        <f>IF(COUNTIF('Resultats Reals'!$G$2:$G$9,BC17)&gt;0,1,0)+IF(COUNTIF('Resultats Reals'!$G$2:$G$9,BD17)&gt;0,1,0)+IF(COUNTIF('Resultats Reals'!$G$2:$G$9,BE17)&gt;0,1,0)+IF(COUNTIF('Resultats Reals'!$G$2:$G$9,BF17)&gt;0,1,0)+IF(COUNTIF('Resultats Reals'!$G$2:$G$9,BG17)&gt;0,1,0)+IF(COUNTIF('Resultats Reals'!$G$2:$G$9,BH17)&gt;0,1,0)+IF(COUNTIF('Resultats Reals'!$G$2:$G$9,BI17)&gt;0,1,0)+IF(COUNTIF('Resultats Reals'!$G$2:$G$9,BJ17)&gt;0,1,0)</f>
        <v>4</v>
      </c>
      <c r="BZ17">
        <f>IF(COUNTIF('Resultats Reals'!$H$2:$H$5,BK17)&gt;0,1,0)+IF(COUNTIF('Resultats Reals'!$H$2:$H$5,BL17)&gt;0,1,0)+IF(COUNTIF('Resultats Reals'!$H$2:$H$5,BM17)&gt;0,1,0)+IF(COUNTIF('Resultats Reals'!$H$2:$H$5,BN17)&gt;0,1,0)</f>
        <v>3</v>
      </c>
      <c r="CA17">
        <f>IF(COUNTIF('Resultats Reals'!$I$2:$I$3,BO17)&gt;0,3,0)+IF(COUNTIF('Resultats Reals'!$I$2:$I$3,BP17)&gt;0,3,0)</f>
        <v>0</v>
      </c>
      <c r="CB17">
        <f>IF(BQ17='Resultats Reals'!$J$2,5,0)</f>
        <v>0</v>
      </c>
      <c r="CC17">
        <f>IF(BS17='Resultats Reals'!$K$2,5,0)</f>
        <v>0</v>
      </c>
      <c r="CD17">
        <f>IFERROR(VLOOKUP(BT17,'Resultats Reals'!$N$2:$O$100,2,FALSE),0)</f>
        <v>8</v>
      </c>
      <c r="CE17">
        <f>IF(BR17='Resultats Reals'!$L$2,5,0)</f>
        <v>0</v>
      </c>
      <c r="CF17" s="7">
        <f t="shared" si="0"/>
        <v>65.5</v>
      </c>
    </row>
    <row r="18" spans="1:84" x14ac:dyDescent="0.25">
      <c r="A18" t="s">
        <v>190</v>
      </c>
      <c r="B18" t="s">
        <v>85</v>
      </c>
      <c r="C18" t="s">
        <v>86</v>
      </c>
      <c r="D18" t="s">
        <v>87</v>
      </c>
      <c r="E18" t="s">
        <v>88</v>
      </c>
      <c r="F18" t="s">
        <v>101</v>
      </c>
      <c r="G18" t="s">
        <v>113</v>
      </c>
      <c r="H18" t="s">
        <v>91</v>
      </c>
      <c r="I18" t="s">
        <v>92</v>
      </c>
      <c r="J18" t="s">
        <v>93</v>
      </c>
      <c r="K18" t="s">
        <v>94</v>
      </c>
      <c r="L18" t="s">
        <v>95</v>
      </c>
      <c r="M18" t="s">
        <v>96</v>
      </c>
      <c r="N18" t="s">
        <v>97</v>
      </c>
      <c r="O18" t="s">
        <v>98</v>
      </c>
      <c r="P18" t="s">
        <v>245</v>
      </c>
      <c r="Q18" t="s">
        <v>100</v>
      </c>
      <c r="R18" t="s">
        <v>89</v>
      </c>
      <c r="S18" t="s">
        <v>90</v>
      </c>
      <c r="T18" t="s">
        <v>114</v>
      </c>
      <c r="U18" t="s">
        <v>104</v>
      </c>
      <c r="V18" t="s">
        <v>105</v>
      </c>
      <c r="W18" t="s">
        <v>106</v>
      </c>
      <c r="X18" t="s">
        <v>107</v>
      </c>
      <c r="Y18" t="s">
        <v>108</v>
      </c>
      <c r="Z18" t="s">
        <v>109</v>
      </c>
      <c r="AA18" t="s">
        <v>110</v>
      </c>
      <c r="AB18" t="s">
        <v>99</v>
      </c>
      <c r="AC18" t="s">
        <v>111</v>
      </c>
      <c r="AD18" t="s">
        <v>112</v>
      </c>
      <c r="AE18" t="s">
        <v>102</v>
      </c>
      <c r="AF18" t="s">
        <v>103</v>
      </c>
      <c r="AG18" t="s">
        <v>115</v>
      </c>
      <c r="AH18" t="s">
        <v>116</v>
      </c>
      <c r="AI18" t="s">
        <v>117</v>
      </c>
      <c r="AJ18" t="s">
        <v>118</v>
      </c>
      <c r="AK18" t="s">
        <v>127</v>
      </c>
      <c r="AL18" t="s">
        <v>120</v>
      </c>
      <c r="AM18" t="s">
        <v>113</v>
      </c>
      <c r="AN18" t="s">
        <v>94</v>
      </c>
      <c r="AO18" t="s">
        <v>245</v>
      </c>
      <c r="AP18" t="s">
        <v>91</v>
      </c>
      <c r="AQ18" t="s">
        <v>108</v>
      </c>
      <c r="AR18" t="s">
        <v>93</v>
      </c>
      <c r="AS18" t="s">
        <v>101</v>
      </c>
      <c r="AT18" t="s">
        <v>92</v>
      </c>
      <c r="AU18" t="s">
        <v>88</v>
      </c>
      <c r="AV18" t="s">
        <v>106</v>
      </c>
      <c r="AW18" t="s">
        <v>86</v>
      </c>
      <c r="AX18" t="s">
        <v>97</v>
      </c>
      <c r="AY18" t="s">
        <v>95</v>
      </c>
      <c r="AZ18" t="s">
        <v>89</v>
      </c>
      <c r="BA18" t="s">
        <v>87</v>
      </c>
      <c r="BB18" t="s">
        <v>96</v>
      </c>
      <c r="BC18" t="s">
        <v>94</v>
      </c>
      <c r="BD18" t="s">
        <v>91</v>
      </c>
      <c r="BE18" t="s">
        <v>93</v>
      </c>
      <c r="BF18" t="s">
        <v>101</v>
      </c>
      <c r="BG18" t="s">
        <v>88</v>
      </c>
      <c r="BH18" t="s">
        <v>97</v>
      </c>
      <c r="BI18" t="s">
        <v>95</v>
      </c>
      <c r="BJ18" t="s">
        <v>96</v>
      </c>
      <c r="BK18" t="s">
        <v>91</v>
      </c>
      <c r="BL18" t="s">
        <v>93</v>
      </c>
      <c r="BM18" t="s">
        <v>97</v>
      </c>
      <c r="BN18" t="s">
        <v>88</v>
      </c>
      <c r="BO18" t="s">
        <v>91</v>
      </c>
      <c r="BP18" t="s">
        <v>97</v>
      </c>
      <c r="BQ18" t="s">
        <v>97</v>
      </c>
      <c r="BS18" t="s">
        <v>166</v>
      </c>
      <c r="BT18" t="s">
        <v>154</v>
      </c>
      <c r="BU18">
        <f>IF(C18='Resultats Reals'!$C$2,2,IF(OR(C18='Resultats Reals'!$C$3,COUNTIF('Resultats Reals'!$E$2:$E$33,C18)&gt;0),1,0))+IF(D18='Resultats Reals'!$C$5,2,IF(OR(D18='Resultats Reals'!$C$6,COUNTIF('Resultats Reals'!$E$2:$E$33,D18)&gt;0),1,0))+IF(E18='Resultats Reals'!$C$8,2,IF(OR(E18='Resultats Reals'!$C$9,COUNTIF('Resultats Reals'!$E$2:$E$33,E18)&gt;0),1,0))+IF(F18='Resultats Reals'!$C$11,2,IF(OR(F18='Resultats Reals'!$C$12,COUNTIF('Resultats Reals'!$E$2:$E$33,F18)&gt;0),1,0))+IF(G18='Resultats Reals'!$C$14,2,IF(OR(G18='Resultats Reals'!$C$15,COUNTIF('Resultats Reals'!$E$2:$E$33,G18)&gt;0),1,0))+IF(H18='Resultats Reals'!$C$17,2,IF(OR(H18='Resultats Reals'!$C$18,COUNTIF('Resultats Reals'!$E$2:$E$33,H18)&gt;0),1,0))+IF(I18='Resultats Reals'!$C$20,2,IF(OR(I18='Resultats Reals'!$C$21,COUNTIF('Resultats Reals'!$E$2:$E$33,I18)&gt;0),1,0))+IF(J18='Resultats Reals'!$C$23,2,IF(OR(J18='Resultats Reals'!$C$24,COUNTIF('Resultats Reals'!$E$2:$E$33,J18)&gt;0),1,0))+IF(K18='Resultats Reals'!$C$26,2,IF(OR(K18='Resultats Reals'!$C$27,COUNTIF('Resultats Reals'!$E$2:$E$33,K18)&gt;0),1,0))+IF(L18='Resultats Reals'!$C$29,2,IF(OR(L18='Resultats Reals'!$C$30,COUNTIF('Resultats Reals'!$E$2:$E$33,L18)&gt;0),1,0))+IF(M18='Resultats Reals'!$C$32,2,IF(OR(M18='Resultats Reals'!$C$33,COUNTIF('Resultats Reals'!$E$2:$E$33,M18)&gt;0),1,0))+IF(N18='Resultats Reals'!$C$35,2,IF(OR(N18='Resultats Reals'!$C$36,COUNTIF('Resultats Reals'!$E$2:$E$33,N18)&gt;0),1,0))</f>
        <v>20</v>
      </c>
      <c r="BV18">
        <f>IF(O18='Resultats Reals'!$C$3,2,IF(OR(O18='Resultats Reals'!$C$2,COUNTIF('Resultats Reals'!$E$2:$E$33,O18)&gt;0),1,0))+IF(P18='Resultats Reals'!$C$6,2,IF(OR(P18='Resultats Reals'!$C$5,COUNTIF('Resultats Reals'!$E$2:$E$33,P18)&gt;0),1,0))+IF(Q18='Resultats Reals'!$C$9,2,IF(OR(Q18='Resultats Reals'!$C$8,COUNTIF('Resultats Reals'!$E$2:$E$33,Q18)&gt;0),1,0))+IF(R18='Resultats Reals'!$C$12,2,IF(OR(R18='Resultats Reals'!$C$11,COUNTIF('Resultats Reals'!$E$2:$E$33,R18)&gt;0),1,0))+IF(S18='Resultats Reals'!$C$15,2,IF(OR(S18='Resultats Reals'!$C$14,COUNTIF('Resultats Reals'!$E$2:$E$33,S18)&gt;0),1,0))+IF(T18='Resultats Reals'!$C$18,2,IF(OR(T18='Resultats Reals'!$C$17,COUNTIF('Resultats Reals'!$E$2:$E$33,T18)&gt;0),1,0))+IF(U18='Resultats Reals'!$C$21,2,IF(OR(U18='Resultats Reals'!$C$20,COUNTIF('Resultats Reals'!$E$2:$E$33,U18)&gt;0),1,0))+IF(V18='Resultats Reals'!$C$24,2,IF(OR(V18='Resultats Reals'!$C$23,COUNTIF('Resultats Reals'!$E$2:$E$33,V18)&gt;0),1,0))+IF(W18='Resultats Reals'!$C$27,2,IF(OR(W18='Resultats Reals'!$C$26,COUNTIF('Resultats Reals'!$E$2:$E$33,W18)&gt;0),1,0))+IF(X18='Resultats Reals'!$C$30,2,IF(OR(X18='Resultats Reals'!$C$29,COUNTIF('Resultats Reals'!$E$2:$E$33,X18)&gt;0),1,0))+IF(Y18='Resultats Reals'!$C$33,2,IF(OR(Y18='Resultats Reals'!$C$32,COUNTIF('Resultats Reals'!$E$2:$E$33,Y18)&gt;0),1,0))+IF(Z18='Resultats Reals'!$C$36,2,IF(OR(Z18='Resultats Reals'!$C$35,COUNTIF('Resultats Reals'!$E$2:$E$33,Z18)&gt;0),1,0))</f>
        <v>15</v>
      </c>
      <c r="BW18">
        <f>IF(AA18='Resultats Reals'!$C$4,IF(COUNTIF('Resultats Reals'!$E$2:$E$33,AA18)&gt;0,2,0.5),IF(OR(AA18='Resultats Reals'!$C$2,AA18='Resultats Reals'!$C$3,COUNTIF('Resultats Reals'!$E$2:$E$33,AA18)&gt;0),1,0))+IF(AB18='Resultats Reals'!$C$7,IF(COUNTIF('Resultats Reals'!$E$2:$E$33,AB18)&gt;0,2,0.5),IF(OR(AB18='Resultats Reals'!$C$5,AB18='Resultats Reals'!$C$6,COUNTIF('Resultats Reals'!$E$2:$E$33,AB18)&gt;0),1,0))+IF(AC18='Resultats Reals'!$C$10,IF(COUNTIF('Resultats Reals'!$E$2:$E$33,AC18)&gt;0,2,0.5),IF(OR(AC18='Resultats Reals'!$C$8,AC18='Resultats Reals'!$C$9,COUNTIF('Resultats Reals'!$E$2:$E$33,AC18)&gt;0),1,0))+IF(AD18='Resultats Reals'!$C$13,IF(COUNTIF('Resultats Reals'!$E$2:$E$33,AD18)&gt;0,2,0.5),IF(OR(AD18='Resultats Reals'!$C$11,AD18='Resultats Reals'!$C$12,COUNTIF('Resultats Reals'!$E$2:$E$33,AD18)&gt;0),1,0))+IF(AE18='Resultats Reals'!$C$16,IF(COUNTIF('Resultats Reals'!$E$2:$E$33,AE18)&gt;0,2,0.5),IF(OR(AE18='Resultats Reals'!$C$14,AE18='Resultats Reals'!$C$15,COUNTIF('Resultats Reals'!$E$2:$E$33,AE18)&gt;0),1,0))+IF(AF18='Resultats Reals'!$C$19,IF(COUNTIF('Resultats Reals'!$E$2:$E$33,AF18)&gt;0,2,0.5),IF(OR(AF18='Resultats Reals'!$C$17,AF18='Resultats Reals'!$C$18,COUNTIF('Resultats Reals'!$E$2:$E$33,AF18)&gt;0),1,0))+IF(AG18='Resultats Reals'!$C$22,IF(COUNTIF('Resultats Reals'!$E$2:$E$33,AG18)&gt;0,2,0.5),IF(OR(AG18='Resultats Reals'!$C$20,AG18='Resultats Reals'!$C$21,COUNTIF('Resultats Reals'!$E$2:$E$33,AG18)&gt;0),1,0))+IF(AH18='Resultats Reals'!$C$25,IF(COUNTIF('Resultats Reals'!$E$2:$E$33,AH18)&gt;0,2,0.5),IF(OR(AH18='Resultats Reals'!$C$23,AH18='Resultats Reals'!$C$24,COUNTIF('Resultats Reals'!$E$2:$E$33,AH18)&gt;0),1,0))+IF(AI18='Resultats Reals'!$C$28,IF(COUNTIF('Resultats Reals'!$E$2:$E$33,AI18)&gt;0,2,0.5),IF(OR(AI18='Resultats Reals'!$C$26,AI18='Resultats Reals'!$C$27,COUNTIF('Resultats Reals'!$E$2:$E$33,AI18)&gt;0),1,0))+IF(AJ18='Resultats Reals'!$C$31,IF(COUNTIF('Resultats Reals'!$E$2:$E$33,AJ18)&gt;0,2,0.5),IF(OR(AJ18='Resultats Reals'!$C$29,AJ18='Resultats Reals'!$C$30,COUNTIF('Resultats Reals'!$E$2:$E$33,AJ18)&gt;0),1,0))+IF(AK18='Resultats Reals'!$C$34,IF(COUNTIF('Resultats Reals'!$E$2:$E$33,AK18)&gt;0,2,0.5),IF(OR(AK18='Resultats Reals'!$C$32,AK18='Resultats Reals'!$C$33,COUNTIF('Resultats Reals'!$E$2:$E$33,AK18)&gt;0),1,0))+IF(AL18='Resultats Reals'!$C$37,IF(COUNTIF('Resultats Reals'!$E$2:$E$33,AL18)&gt;0,2,0.5),IF(OR(AL18='Resultats Reals'!$C$35,AL18='Resultats Reals'!$C$36,COUNTIF('Resultats Reals'!$E$2:$E$33,AL18)&gt;0),1,0))</f>
        <v>15</v>
      </c>
      <c r="BX18">
        <f>IF(COUNTIF('Resultats Reals'!$F$2:$F$17,AM18)&gt;0,1,0)+IF(COUNTIF('Resultats Reals'!$F$2:$F$17,AN18)&gt;0,1,0)+IF(COUNTIF('Resultats Reals'!$F$2:$F$17,AO18)&gt;0,1,0)+IF(COUNTIF('Resultats Reals'!$F$2:$F$17,AP18)&gt;0,1,0)+IF(COUNTIF('Resultats Reals'!$F$2:$F$17,AQ18)&gt;0,1,0)+IF(COUNTIF('Resultats Reals'!$F$2:$F$17,AR18)&gt;0,1,0)+IF(COUNTIF('Resultats Reals'!$F$2:$F$17,AS18)&gt;0,1,0)+IF(COUNTIF('Resultats Reals'!$F$2:$F$17,AT18)&gt;0,1,0)+IF(COUNTIF('Resultats Reals'!$F$2:$F$17,AU18)&gt;0,1,0)+IF(COUNTIF('Resultats Reals'!$F$2:$F$17,AV18)&gt;0,1,0)+IF(COUNTIF('Resultats Reals'!$F$2:$F$17,AW18)&gt;0,1,0)+IF(COUNTIF('Resultats Reals'!$F$2:$F$17,AX18)&gt;0,1,0)+IF(COUNTIF('Resultats Reals'!$F$2:$F$17,AY18)&gt;0,1,0)+IF(COUNTIF('Resultats Reals'!$F$2:$F$17,AZ18)&gt;0,1,0)+IF(COUNTIF('Resultats Reals'!$F$2:$F$17,BA18)&gt;0,1,0)+IF(COUNTIF('Resultats Reals'!$F$2:$F$17,BB18)&gt;0,1,0)</f>
        <v>11</v>
      </c>
      <c r="BY18">
        <f>IF(COUNTIF('Resultats Reals'!$G$2:$G$9,BC18)&gt;0,1,0)+IF(COUNTIF('Resultats Reals'!$G$2:$G$9,BD18)&gt;0,1,0)+IF(COUNTIF('Resultats Reals'!$G$2:$G$9,BE18)&gt;0,1,0)+IF(COUNTIF('Resultats Reals'!$G$2:$G$9,BF18)&gt;0,1,0)+IF(COUNTIF('Resultats Reals'!$G$2:$G$9,BG18)&gt;0,1,0)+IF(COUNTIF('Resultats Reals'!$G$2:$G$9,BH18)&gt;0,1,0)+IF(COUNTIF('Resultats Reals'!$G$2:$G$9,BI18)&gt;0,1,0)+IF(COUNTIF('Resultats Reals'!$G$2:$G$9,BJ18)&gt;0,1,0)</f>
        <v>4</v>
      </c>
      <c r="BZ18">
        <f>IF(COUNTIF('Resultats Reals'!$H$2:$H$5,BK18)&gt;0,1,0)+IF(COUNTIF('Resultats Reals'!$H$2:$H$5,BL18)&gt;0,1,0)+IF(COUNTIF('Resultats Reals'!$H$2:$H$5,BM18)&gt;0,1,0)+IF(COUNTIF('Resultats Reals'!$H$2:$H$5,BN18)&gt;0,1,0)</f>
        <v>2</v>
      </c>
      <c r="CA18">
        <f>IF(COUNTIF('Resultats Reals'!$I$2:$I$3,BO18)&gt;0,3,0)+IF(COUNTIF('Resultats Reals'!$I$2:$I$3,BP18)&gt;0,3,0)</f>
        <v>0</v>
      </c>
      <c r="CB18">
        <f>IF(BQ18='Resultats Reals'!$J$2,5,0)</f>
        <v>0</v>
      </c>
      <c r="CC18">
        <f>IF(BS18='Resultats Reals'!$K$2,5,0)</f>
        <v>0</v>
      </c>
      <c r="CD18">
        <f>IFERROR(VLOOKUP(BT18,'Resultats Reals'!$N$2:$O$100,2,FALSE),0)</f>
        <v>6</v>
      </c>
      <c r="CE18">
        <f>IF(BR18='Resultats Reals'!$L$2,5,0)</f>
        <v>0</v>
      </c>
      <c r="CF18" s="7">
        <f t="shared" si="0"/>
        <v>73</v>
      </c>
    </row>
    <row r="19" spans="1:84" x14ac:dyDescent="0.25">
      <c r="A19" t="s">
        <v>195</v>
      </c>
      <c r="B19" t="s">
        <v>85</v>
      </c>
      <c r="C19" t="s">
        <v>86</v>
      </c>
      <c r="D19" t="s">
        <v>87</v>
      </c>
      <c r="E19" t="s">
        <v>88</v>
      </c>
      <c r="F19" t="s">
        <v>101</v>
      </c>
      <c r="G19" t="s">
        <v>90</v>
      </c>
      <c r="H19" t="s">
        <v>91</v>
      </c>
      <c r="I19" t="s">
        <v>92</v>
      </c>
      <c r="J19" t="s">
        <v>93</v>
      </c>
      <c r="K19" t="s">
        <v>94</v>
      </c>
      <c r="L19" t="s">
        <v>95</v>
      </c>
      <c r="M19" t="s">
        <v>96</v>
      </c>
      <c r="N19" t="s">
        <v>97</v>
      </c>
      <c r="O19" t="s">
        <v>98</v>
      </c>
      <c r="P19" t="s">
        <v>99</v>
      </c>
      <c r="Q19" t="s">
        <v>100</v>
      </c>
      <c r="R19" t="s">
        <v>89</v>
      </c>
      <c r="S19" t="s">
        <v>102</v>
      </c>
      <c r="T19" t="s">
        <v>103</v>
      </c>
      <c r="U19" t="s">
        <v>104</v>
      </c>
      <c r="V19" t="s">
        <v>105</v>
      </c>
      <c r="W19" t="s">
        <v>117</v>
      </c>
      <c r="X19" t="s">
        <v>118</v>
      </c>
      <c r="Y19" t="s">
        <v>108</v>
      </c>
      <c r="Z19" t="s">
        <v>109</v>
      </c>
      <c r="AA19" t="s">
        <v>110</v>
      </c>
      <c r="AB19" t="s">
        <v>245</v>
      </c>
      <c r="AC19" t="s">
        <v>111</v>
      </c>
      <c r="AD19" t="s">
        <v>112</v>
      </c>
      <c r="AE19" t="s">
        <v>113</v>
      </c>
      <c r="AF19" t="s">
        <v>114</v>
      </c>
      <c r="AG19" t="s">
        <v>115</v>
      </c>
      <c r="AH19" t="s">
        <v>116</v>
      </c>
      <c r="AI19" t="s">
        <v>106</v>
      </c>
      <c r="AJ19" t="s">
        <v>107</v>
      </c>
      <c r="AK19" t="s">
        <v>127</v>
      </c>
      <c r="AL19" t="s">
        <v>120</v>
      </c>
      <c r="AM19" t="s">
        <v>86</v>
      </c>
      <c r="AN19" t="s">
        <v>87</v>
      </c>
      <c r="AO19" t="s">
        <v>88</v>
      </c>
      <c r="AP19" t="s">
        <v>101</v>
      </c>
      <c r="AQ19" t="s">
        <v>90</v>
      </c>
      <c r="AR19" t="s">
        <v>196</v>
      </c>
      <c r="AS19" t="s">
        <v>92</v>
      </c>
      <c r="AT19" t="s">
        <v>93</v>
      </c>
      <c r="AU19" t="s">
        <v>94</v>
      </c>
      <c r="AV19" t="s">
        <v>95</v>
      </c>
      <c r="AW19" t="s">
        <v>96</v>
      </c>
      <c r="AX19" t="s">
        <v>97</v>
      </c>
      <c r="AY19" t="s">
        <v>98</v>
      </c>
      <c r="AZ19" t="s">
        <v>102</v>
      </c>
      <c r="BA19" t="s">
        <v>108</v>
      </c>
      <c r="BB19" t="s">
        <v>89</v>
      </c>
      <c r="BC19" t="s">
        <v>94</v>
      </c>
      <c r="BD19" t="s">
        <v>91</v>
      </c>
      <c r="BE19" t="s">
        <v>88</v>
      </c>
      <c r="BF19" t="s">
        <v>97</v>
      </c>
      <c r="BG19" t="s">
        <v>101</v>
      </c>
      <c r="BH19" t="s">
        <v>93</v>
      </c>
      <c r="BI19" t="s">
        <v>95</v>
      </c>
      <c r="BJ19" t="s">
        <v>96</v>
      </c>
      <c r="BK19" t="s">
        <v>94</v>
      </c>
      <c r="BL19" t="s">
        <v>88</v>
      </c>
      <c r="BM19" t="s">
        <v>93</v>
      </c>
      <c r="BN19" t="s">
        <v>96</v>
      </c>
      <c r="BO19" t="s">
        <v>93</v>
      </c>
      <c r="BP19" t="s">
        <v>94</v>
      </c>
      <c r="BQ19" t="s">
        <v>93</v>
      </c>
      <c r="BR19" s="6" t="s">
        <v>176</v>
      </c>
      <c r="BS19" t="s">
        <v>121</v>
      </c>
      <c r="BT19" t="s">
        <v>128</v>
      </c>
      <c r="BU19">
        <f>IF(C19='Resultats Reals'!$C$2,2,IF(OR(C19='Resultats Reals'!$C$3,COUNTIF('Resultats Reals'!$E$2:$E$33,C19)&gt;0),1,0))+IF(D19='Resultats Reals'!$C$5,2,IF(OR(D19='Resultats Reals'!$C$6,COUNTIF('Resultats Reals'!$E$2:$E$33,D19)&gt;0),1,0))+IF(E19='Resultats Reals'!$C$8,2,IF(OR(E19='Resultats Reals'!$C$9,COUNTIF('Resultats Reals'!$E$2:$E$33,E19)&gt;0),1,0))+IF(F19='Resultats Reals'!$C$11,2,IF(OR(F19='Resultats Reals'!$C$12,COUNTIF('Resultats Reals'!$E$2:$E$33,F19)&gt;0),1,0))+IF(G19='Resultats Reals'!$C$14,2,IF(OR(G19='Resultats Reals'!$C$15,COUNTIF('Resultats Reals'!$E$2:$E$33,G19)&gt;0),1,0))+IF(H19='Resultats Reals'!$C$17,2,IF(OR(H19='Resultats Reals'!$C$18,COUNTIF('Resultats Reals'!$E$2:$E$33,H19)&gt;0),1,0))+IF(I19='Resultats Reals'!$C$20,2,IF(OR(I19='Resultats Reals'!$C$21,COUNTIF('Resultats Reals'!$E$2:$E$33,I19)&gt;0),1,0))+IF(J19='Resultats Reals'!$C$23,2,IF(OR(J19='Resultats Reals'!$C$24,COUNTIF('Resultats Reals'!$E$2:$E$33,J19)&gt;0),1,0))+IF(K19='Resultats Reals'!$C$26,2,IF(OR(K19='Resultats Reals'!$C$27,COUNTIF('Resultats Reals'!$E$2:$E$33,K19)&gt;0),1,0))+IF(L19='Resultats Reals'!$C$29,2,IF(OR(L19='Resultats Reals'!$C$30,COUNTIF('Resultats Reals'!$E$2:$E$33,L19)&gt;0),1,0))+IF(M19='Resultats Reals'!$C$32,2,IF(OR(M19='Resultats Reals'!$C$33,COUNTIF('Resultats Reals'!$E$2:$E$33,M19)&gt;0),1,0))+IF(N19='Resultats Reals'!$C$35,2,IF(OR(N19='Resultats Reals'!$C$36,COUNTIF('Resultats Reals'!$E$2:$E$33,N19)&gt;0),1,0))</f>
        <v>21</v>
      </c>
      <c r="BV19">
        <f>IF(O19='Resultats Reals'!$C$3,2,IF(OR(O19='Resultats Reals'!$C$2,COUNTIF('Resultats Reals'!$E$2:$E$33,O19)&gt;0),1,0))+IF(P19='Resultats Reals'!$C$6,2,IF(OR(P19='Resultats Reals'!$C$5,COUNTIF('Resultats Reals'!$E$2:$E$33,P19)&gt;0),1,0))+IF(Q19='Resultats Reals'!$C$9,2,IF(OR(Q19='Resultats Reals'!$C$8,COUNTIF('Resultats Reals'!$E$2:$E$33,Q19)&gt;0),1,0))+IF(R19='Resultats Reals'!$C$12,2,IF(OR(R19='Resultats Reals'!$C$11,COUNTIF('Resultats Reals'!$E$2:$E$33,R19)&gt;0),1,0))+IF(S19='Resultats Reals'!$C$15,2,IF(OR(S19='Resultats Reals'!$C$14,COUNTIF('Resultats Reals'!$E$2:$E$33,S19)&gt;0),1,0))+IF(T19='Resultats Reals'!$C$18,2,IF(OR(T19='Resultats Reals'!$C$17,COUNTIF('Resultats Reals'!$E$2:$E$33,T19)&gt;0),1,0))+IF(U19='Resultats Reals'!$C$21,2,IF(OR(U19='Resultats Reals'!$C$20,COUNTIF('Resultats Reals'!$E$2:$E$33,U19)&gt;0),1,0))+IF(V19='Resultats Reals'!$C$24,2,IF(OR(V19='Resultats Reals'!$C$23,COUNTIF('Resultats Reals'!$E$2:$E$33,V19)&gt;0),1,0))+IF(W19='Resultats Reals'!$C$27,2,IF(OR(W19='Resultats Reals'!$C$26,COUNTIF('Resultats Reals'!$E$2:$E$33,W19)&gt;0),1,0))+IF(X19='Resultats Reals'!$C$30,2,IF(OR(X19='Resultats Reals'!$C$29,COUNTIF('Resultats Reals'!$E$2:$E$33,X19)&gt;0),1,0))+IF(Y19='Resultats Reals'!$C$33,2,IF(OR(Y19='Resultats Reals'!$C$32,COUNTIF('Resultats Reals'!$E$2:$E$33,Y19)&gt;0),1,0))+IF(Z19='Resultats Reals'!$C$36,2,IF(OR(Z19='Resultats Reals'!$C$35,COUNTIF('Resultats Reals'!$E$2:$E$33,Z19)&gt;0),1,0))</f>
        <v>15</v>
      </c>
      <c r="BW19">
        <f>IF(AA19='Resultats Reals'!$C$4,IF(COUNTIF('Resultats Reals'!$E$2:$E$33,AA19)&gt;0,2,0.5),IF(OR(AA19='Resultats Reals'!$C$2,AA19='Resultats Reals'!$C$3,COUNTIF('Resultats Reals'!$E$2:$E$33,AA19)&gt;0),1,0))+IF(AB19='Resultats Reals'!$C$7,IF(COUNTIF('Resultats Reals'!$E$2:$E$33,AB19)&gt;0,2,0.5),IF(OR(AB19='Resultats Reals'!$C$5,AB19='Resultats Reals'!$C$6,COUNTIF('Resultats Reals'!$E$2:$E$33,AB19)&gt;0),1,0))+IF(AC19='Resultats Reals'!$C$10,IF(COUNTIF('Resultats Reals'!$E$2:$E$33,AC19)&gt;0,2,0.5),IF(OR(AC19='Resultats Reals'!$C$8,AC19='Resultats Reals'!$C$9,COUNTIF('Resultats Reals'!$E$2:$E$33,AC19)&gt;0),1,0))+IF(AD19='Resultats Reals'!$C$13,IF(COUNTIF('Resultats Reals'!$E$2:$E$33,AD19)&gt;0,2,0.5),IF(OR(AD19='Resultats Reals'!$C$11,AD19='Resultats Reals'!$C$12,COUNTIF('Resultats Reals'!$E$2:$E$33,AD19)&gt;0),1,0))+IF(AE19='Resultats Reals'!$C$16,IF(COUNTIF('Resultats Reals'!$E$2:$E$33,AE19)&gt;0,2,0.5),IF(OR(AE19='Resultats Reals'!$C$14,AE19='Resultats Reals'!$C$15,COUNTIF('Resultats Reals'!$E$2:$E$33,AE19)&gt;0),1,0))+IF(AF19='Resultats Reals'!$C$19,IF(COUNTIF('Resultats Reals'!$E$2:$E$33,AF19)&gt;0,2,0.5),IF(OR(AF19='Resultats Reals'!$C$17,AF19='Resultats Reals'!$C$18,COUNTIF('Resultats Reals'!$E$2:$E$33,AF19)&gt;0),1,0))+IF(AG19='Resultats Reals'!$C$22,IF(COUNTIF('Resultats Reals'!$E$2:$E$33,AG19)&gt;0,2,0.5),IF(OR(AG19='Resultats Reals'!$C$20,AG19='Resultats Reals'!$C$21,COUNTIF('Resultats Reals'!$E$2:$E$33,AG19)&gt;0),1,0))+IF(AH19='Resultats Reals'!$C$25,IF(COUNTIF('Resultats Reals'!$E$2:$E$33,AH19)&gt;0,2,0.5),IF(OR(AH19='Resultats Reals'!$C$23,AH19='Resultats Reals'!$C$24,COUNTIF('Resultats Reals'!$E$2:$E$33,AH19)&gt;0),1,0))+IF(AI19='Resultats Reals'!$C$28,IF(COUNTIF('Resultats Reals'!$E$2:$E$33,AI19)&gt;0,2,0.5),IF(OR(AI19='Resultats Reals'!$C$26,AI19='Resultats Reals'!$C$27,COUNTIF('Resultats Reals'!$E$2:$E$33,AI19)&gt;0),1,0))+IF(AJ19='Resultats Reals'!$C$31,IF(COUNTIF('Resultats Reals'!$E$2:$E$33,AJ19)&gt;0,2,0.5),IF(OR(AJ19='Resultats Reals'!$C$29,AJ19='Resultats Reals'!$C$30,COUNTIF('Resultats Reals'!$E$2:$E$33,AJ19)&gt;0),1,0))+IF(AK19='Resultats Reals'!$C$34,IF(COUNTIF('Resultats Reals'!$E$2:$E$33,AK19)&gt;0,2,0.5),IF(OR(AK19='Resultats Reals'!$C$32,AK19='Resultats Reals'!$C$33,COUNTIF('Resultats Reals'!$E$2:$E$33,AK19)&gt;0),1,0))+IF(AL19='Resultats Reals'!$C$37,IF(COUNTIF('Resultats Reals'!$E$2:$E$33,AL19)&gt;0,2,0.5),IF(OR(AL19='Resultats Reals'!$C$35,AL19='Resultats Reals'!$C$36,COUNTIF('Resultats Reals'!$E$2:$E$33,AL19)&gt;0),1,0))</f>
        <v>14</v>
      </c>
      <c r="BX19">
        <f>IF(COUNTIF('Resultats Reals'!$F$2:$F$17,AM19)&gt;0,1,0)+IF(COUNTIF('Resultats Reals'!$F$2:$F$17,AN19)&gt;0,1,0)+IF(COUNTIF('Resultats Reals'!$F$2:$F$17,AO19)&gt;0,1,0)+IF(COUNTIF('Resultats Reals'!$F$2:$F$17,AP19)&gt;0,1,0)+IF(COUNTIF('Resultats Reals'!$F$2:$F$17,AQ19)&gt;0,1,0)+IF(COUNTIF('Resultats Reals'!$F$2:$F$17,AR19)&gt;0,1,0)+IF(COUNTIF('Resultats Reals'!$F$2:$F$17,AS19)&gt;0,1,0)+IF(COUNTIF('Resultats Reals'!$F$2:$F$17,AT19)&gt;0,1,0)+IF(COUNTIF('Resultats Reals'!$F$2:$F$17,AU19)&gt;0,1,0)+IF(COUNTIF('Resultats Reals'!$F$2:$F$17,AV19)&gt;0,1,0)+IF(COUNTIF('Resultats Reals'!$F$2:$F$17,AW19)&gt;0,1,0)+IF(COUNTIF('Resultats Reals'!$F$2:$F$17,AX19)&gt;0,1,0)+IF(COUNTIF('Resultats Reals'!$F$2:$F$17,AY19)&gt;0,1,0)+IF(COUNTIF('Resultats Reals'!$F$2:$F$17,AZ19)&gt;0,1,0)+IF(COUNTIF('Resultats Reals'!$F$2:$F$17,BA19)&gt;0,1,0)+IF(COUNTIF('Resultats Reals'!$F$2:$F$17,BB19)&gt;0,1,0)</f>
        <v>11</v>
      </c>
      <c r="BY19">
        <f>IF(COUNTIF('Resultats Reals'!$G$2:$G$9,BC19)&gt;0,1,0)+IF(COUNTIF('Resultats Reals'!$G$2:$G$9,BD19)&gt;0,1,0)+IF(COUNTIF('Resultats Reals'!$G$2:$G$9,BE19)&gt;0,1,0)+IF(COUNTIF('Resultats Reals'!$G$2:$G$9,BF19)&gt;0,1,0)+IF(COUNTIF('Resultats Reals'!$G$2:$G$9,BG19)&gt;0,1,0)+IF(COUNTIF('Resultats Reals'!$G$2:$G$9,BH19)&gt;0,1,0)+IF(COUNTIF('Resultats Reals'!$G$2:$G$9,BI19)&gt;0,1,0)+IF(COUNTIF('Resultats Reals'!$G$2:$G$9,BJ19)&gt;0,1,0)</f>
        <v>4</v>
      </c>
      <c r="BZ19">
        <f>IF(COUNTIF('Resultats Reals'!$H$2:$H$5,BK19)&gt;0,1,0)+IF(COUNTIF('Resultats Reals'!$H$2:$H$5,BL19)&gt;0,1,0)+IF(COUNTIF('Resultats Reals'!$H$2:$H$5,BM19)&gt;0,1,0)+IF(COUNTIF('Resultats Reals'!$H$2:$H$5,BN19)&gt;0,1,0)</f>
        <v>2</v>
      </c>
      <c r="CA19">
        <f>IF(COUNTIF('Resultats Reals'!$I$2:$I$3,BO19)&gt;0,3,0)+IF(COUNTIF('Resultats Reals'!$I$2:$I$3,BP19)&gt;0,3,0)</f>
        <v>0</v>
      </c>
      <c r="CB19">
        <f>IF(BQ19='Resultats Reals'!$J$2,5,0)</f>
        <v>0</v>
      </c>
      <c r="CC19">
        <f>IF(BS19='Resultats Reals'!$K$2,5,0)</f>
        <v>0</v>
      </c>
      <c r="CD19">
        <f>IFERROR(VLOOKUP(BT19,'Resultats Reals'!$N$2:$O$100,2,FALSE),0)</f>
        <v>8</v>
      </c>
      <c r="CE19">
        <f>IF(BR19='Resultats Reals'!$L$2,5,0)</f>
        <v>0</v>
      </c>
      <c r="CF19" s="7">
        <f t="shared" si="0"/>
        <v>75</v>
      </c>
    </row>
    <row r="20" spans="1:84" x14ac:dyDescent="0.25">
      <c r="A20" t="s">
        <v>208</v>
      </c>
      <c r="B20" t="s">
        <v>85</v>
      </c>
      <c r="C20" t="s">
        <v>110</v>
      </c>
      <c r="D20" t="s">
        <v>87</v>
      </c>
      <c r="E20" t="s">
        <v>88</v>
      </c>
      <c r="F20" t="s">
        <v>89</v>
      </c>
      <c r="G20" t="s">
        <v>90</v>
      </c>
      <c r="H20" t="s">
        <v>114</v>
      </c>
      <c r="I20" t="s">
        <v>92</v>
      </c>
      <c r="J20" t="s">
        <v>93</v>
      </c>
      <c r="K20" t="s">
        <v>94</v>
      </c>
      <c r="L20" t="s">
        <v>95</v>
      </c>
      <c r="M20" t="s">
        <v>96</v>
      </c>
      <c r="N20" t="s">
        <v>97</v>
      </c>
      <c r="O20" t="s">
        <v>86</v>
      </c>
      <c r="P20" t="s">
        <v>99</v>
      </c>
      <c r="Q20" t="s">
        <v>100</v>
      </c>
      <c r="R20" t="s">
        <v>101</v>
      </c>
      <c r="S20" t="s">
        <v>102</v>
      </c>
      <c r="T20" t="s">
        <v>91</v>
      </c>
      <c r="U20" t="s">
        <v>104</v>
      </c>
      <c r="V20" t="s">
        <v>105</v>
      </c>
      <c r="W20" t="s">
        <v>117</v>
      </c>
      <c r="X20" t="s">
        <v>107</v>
      </c>
      <c r="Y20" t="s">
        <v>108</v>
      </c>
      <c r="Z20" t="s">
        <v>109</v>
      </c>
      <c r="AA20" t="s">
        <v>98</v>
      </c>
      <c r="AB20" t="s">
        <v>245</v>
      </c>
      <c r="AC20" t="s">
        <v>111</v>
      </c>
      <c r="AD20" t="s">
        <v>112</v>
      </c>
      <c r="AE20" t="s">
        <v>113</v>
      </c>
      <c r="AF20" t="s">
        <v>103</v>
      </c>
      <c r="AG20" t="s">
        <v>115</v>
      </c>
      <c r="AH20" t="s">
        <v>142</v>
      </c>
      <c r="AI20" t="s">
        <v>106</v>
      </c>
      <c r="AJ20" t="s">
        <v>118</v>
      </c>
      <c r="AK20" t="s">
        <v>127</v>
      </c>
      <c r="AL20" t="s">
        <v>120</v>
      </c>
      <c r="AM20" t="s">
        <v>90</v>
      </c>
      <c r="AN20" t="s">
        <v>94</v>
      </c>
      <c r="AO20" t="s">
        <v>86</v>
      </c>
      <c r="AP20" t="s">
        <v>100</v>
      </c>
      <c r="AQ20" t="s">
        <v>109</v>
      </c>
      <c r="AR20" t="s">
        <v>93</v>
      </c>
      <c r="AS20" t="s">
        <v>103</v>
      </c>
      <c r="AT20" t="s">
        <v>92</v>
      </c>
      <c r="AU20" t="s">
        <v>88</v>
      </c>
      <c r="AV20" t="s">
        <v>117</v>
      </c>
      <c r="AW20" t="s">
        <v>110</v>
      </c>
      <c r="AX20" t="s">
        <v>97</v>
      </c>
      <c r="AY20" t="s">
        <v>95</v>
      </c>
      <c r="AZ20" t="s">
        <v>101</v>
      </c>
      <c r="BA20" t="s">
        <v>87</v>
      </c>
      <c r="BB20" t="s">
        <v>96</v>
      </c>
      <c r="BC20" t="s">
        <v>94</v>
      </c>
      <c r="BD20" t="s">
        <v>100</v>
      </c>
      <c r="BE20" t="s">
        <v>93</v>
      </c>
      <c r="BF20" t="s">
        <v>92</v>
      </c>
      <c r="BG20" t="s">
        <v>88</v>
      </c>
      <c r="BH20" t="s">
        <v>97</v>
      </c>
      <c r="BI20" t="s">
        <v>95</v>
      </c>
      <c r="BJ20" t="s">
        <v>96</v>
      </c>
      <c r="BK20" t="s">
        <v>94</v>
      </c>
      <c r="BL20" t="s">
        <v>93</v>
      </c>
      <c r="BM20" t="s">
        <v>97</v>
      </c>
      <c r="BN20" t="s">
        <v>95</v>
      </c>
      <c r="BO20" t="s">
        <v>94</v>
      </c>
      <c r="BP20" t="s">
        <v>97</v>
      </c>
      <c r="BQ20" t="s">
        <v>97</v>
      </c>
      <c r="BS20" t="s">
        <v>128</v>
      </c>
      <c r="BT20" t="s">
        <v>154</v>
      </c>
      <c r="BU20">
        <f>IF(C20='Resultats Reals'!$C$2,2,IF(OR(C20='Resultats Reals'!$C$3,COUNTIF('Resultats Reals'!$E$2:$E$33,C20)&gt;0),1,0))+IF(D20='Resultats Reals'!$C$5,2,IF(OR(D20='Resultats Reals'!$C$6,COUNTIF('Resultats Reals'!$E$2:$E$33,D20)&gt;0),1,0))+IF(E20='Resultats Reals'!$C$8,2,IF(OR(E20='Resultats Reals'!$C$9,COUNTIF('Resultats Reals'!$E$2:$E$33,E20)&gt;0),1,0))+IF(F20='Resultats Reals'!$C$11,2,IF(OR(F20='Resultats Reals'!$C$12,COUNTIF('Resultats Reals'!$E$2:$E$33,F20)&gt;0),1,0))+IF(G20='Resultats Reals'!$C$14,2,IF(OR(G20='Resultats Reals'!$C$15,COUNTIF('Resultats Reals'!$E$2:$E$33,G20)&gt;0),1,0))+IF(H20='Resultats Reals'!$C$17,2,IF(OR(H20='Resultats Reals'!$C$18,COUNTIF('Resultats Reals'!$E$2:$E$33,H20)&gt;0),1,0))+IF(I20='Resultats Reals'!$C$20,2,IF(OR(I20='Resultats Reals'!$C$21,COUNTIF('Resultats Reals'!$E$2:$E$33,I20)&gt;0),1,0))+IF(J20='Resultats Reals'!$C$23,2,IF(OR(J20='Resultats Reals'!$C$24,COUNTIF('Resultats Reals'!$E$2:$E$33,J20)&gt;0),1,0))+IF(K20='Resultats Reals'!$C$26,2,IF(OR(K20='Resultats Reals'!$C$27,COUNTIF('Resultats Reals'!$E$2:$E$33,K20)&gt;0),1,0))+IF(L20='Resultats Reals'!$C$29,2,IF(OR(L20='Resultats Reals'!$C$30,COUNTIF('Resultats Reals'!$E$2:$E$33,L20)&gt;0),1,0))+IF(M20='Resultats Reals'!$C$32,2,IF(OR(M20='Resultats Reals'!$C$33,COUNTIF('Resultats Reals'!$E$2:$E$33,M20)&gt;0),1,0))+IF(N20='Resultats Reals'!$C$35,2,IF(OR(N20='Resultats Reals'!$C$36,COUNTIF('Resultats Reals'!$E$2:$E$33,N20)&gt;0),1,0))</f>
        <v>20</v>
      </c>
      <c r="BV20">
        <f>IF(O20='Resultats Reals'!$C$3,2,IF(OR(O20='Resultats Reals'!$C$2,COUNTIF('Resultats Reals'!$E$2:$E$33,O20)&gt;0),1,0))+IF(P20='Resultats Reals'!$C$6,2,IF(OR(P20='Resultats Reals'!$C$5,COUNTIF('Resultats Reals'!$E$2:$E$33,P20)&gt;0),1,0))+IF(Q20='Resultats Reals'!$C$9,2,IF(OR(Q20='Resultats Reals'!$C$8,COUNTIF('Resultats Reals'!$E$2:$E$33,Q20)&gt;0),1,0))+IF(R20='Resultats Reals'!$C$12,2,IF(OR(R20='Resultats Reals'!$C$11,COUNTIF('Resultats Reals'!$E$2:$E$33,R20)&gt;0),1,0))+IF(S20='Resultats Reals'!$C$15,2,IF(OR(S20='Resultats Reals'!$C$14,COUNTIF('Resultats Reals'!$E$2:$E$33,S20)&gt;0),1,0))+IF(T20='Resultats Reals'!$C$18,2,IF(OR(T20='Resultats Reals'!$C$17,COUNTIF('Resultats Reals'!$E$2:$E$33,T20)&gt;0),1,0))+IF(U20='Resultats Reals'!$C$21,2,IF(OR(U20='Resultats Reals'!$C$20,COUNTIF('Resultats Reals'!$E$2:$E$33,U20)&gt;0),1,0))+IF(V20='Resultats Reals'!$C$24,2,IF(OR(V20='Resultats Reals'!$C$23,COUNTIF('Resultats Reals'!$E$2:$E$33,V20)&gt;0),1,0))+IF(W20='Resultats Reals'!$C$27,2,IF(OR(W20='Resultats Reals'!$C$26,COUNTIF('Resultats Reals'!$E$2:$E$33,W20)&gt;0),1,0))+IF(X20='Resultats Reals'!$C$30,2,IF(OR(X20='Resultats Reals'!$C$29,COUNTIF('Resultats Reals'!$E$2:$E$33,X20)&gt;0),1,0))+IF(Y20='Resultats Reals'!$C$33,2,IF(OR(Y20='Resultats Reals'!$C$32,COUNTIF('Resultats Reals'!$E$2:$E$33,Y20)&gt;0),1,0))+IF(Z20='Resultats Reals'!$C$36,2,IF(OR(Z20='Resultats Reals'!$C$35,COUNTIF('Resultats Reals'!$E$2:$E$33,Z20)&gt;0),1,0))</f>
        <v>16</v>
      </c>
      <c r="BW20">
        <f>IF(AA20='Resultats Reals'!$C$4,IF(COUNTIF('Resultats Reals'!$E$2:$E$33,AA20)&gt;0,2,0.5),IF(OR(AA20='Resultats Reals'!$C$2,AA20='Resultats Reals'!$C$3,COUNTIF('Resultats Reals'!$E$2:$E$33,AA20)&gt;0),1,0))+IF(AB20='Resultats Reals'!$C$7,IF(COUNTIF('Resultats Reals'!$E$2:$E$33,AB20)&gt;0,2,0.5),IF(OR(AB20='Resultats Reals'!$C$5,AB20='Resultats Reals'!$C$6,COUNTIF('Resultats Reals'!$E$2:$E$33,AB20)&gt;0),1,0))+IF(AC20='Resultats Reals'!$C$10,IF(COUNTIF('Resultats Reals'!$E$2:$E$33,AC20)&gt;0,2,0.5),IF(OR(AC20='Resultats Reals'!$C$8,AC20='Resultats Reals'!$C$9,COUNTIF('Resultats Reals'!$E$2:$E$33,AC20)&gt;0),1,0))+IF(AD20='Resultats Reals'!$C$13,IF(COUNTIF('Resultats Reals'!$E$2:$E$33,AD20)&gt;0,2,0.5),IF(OR(AD20='Resultats Reals'!$C$11,AD20='Resultats Reals'!$C$12,COUNTIF('Resultats Reals'!$E$2:$E$33,AD20)&gt;0),1,0))+IF(AE20='Resultats Reals'!$C$16,IF(COUNTIF('Resultats Reals'!$E$2:$E$33,AE20)&gt;0,2,0.5),IF(OR(AE20='Resultats Reals'!$C$14,AE20='Resultats Reals'!$C$15,COUNTIF('Resultats Reals'!$E$2:$E$33,AE20)&gt;0),1,0))+IF(AF20='Resultats Reals'!$C$19,IF(COUNTIF('Resultats Reals'!$E$2:$E$33,AF20)&gt;0,2,0.5),IF(OR(AF20='Resultats Reals'!$C$17,AF20='Resultats Reals'!$C$18,COUNTIF('Resultats Reals'!$E$2:$E$33,AF20)&gt;0),1,0))+IF(AG20='Resultats Reals'!$C$22,IF(COUNTIF('Resultats Reals'!$E$2:$E$33,AG20)&gt;0,2,0.5),IF(OR(AG20='Resultats Reals'!$C$20,AG20='Resultats Reals'!$C$21,COUNTIF('Resultats Reals'!$E$2:$E$33,AG20)&gt;0),1,0))+IF(AH20='Resultats Reals'!$C$25,IF(COUNTIF('Resultats Reals'!$E$2:$E$33,AH20)&gt;0,2,0.5),IF(OR(AH20='Resultats Reals'!$C$23,AH20='Resultats Reals'!$C$24,COUNTIF('Resultats Reals'!$E$2:$E$33,AH20)&gt;0),1,0))+IF(AI20='Resultats Reals'!$C$28,IF(COUNTIF('Resultats Reals'!$E$2:$E$33,AI20)&gt;0,2,0.5),IF(OR(AI20='Resultats Reals'!$C$26,AI20='Resultats Reals'!$C$27,COUNTIF('Resultats Reals'!$E$2:$E$33,AI20)&gt;0),1,0))+IF(AJ20='Resultats Reals'!$C$31,IF(COUNTIF('Resultats Reals'!$E$2:$E$33,AJ20)&gt;0,2,0.5),IF(OR(AJ20='Resultats Reals'!$C$29,AJ20='Resultats Reals'!$C$30,COUNTIF('Resultats Reals'!$E$2:$E$33,AJ20)&gt;0),1,0))+IF(AK20='Resultats Reals'!$C$34,IF(COUNTIF('Resultats Reals'!$E$2:$E$33,AK20)&gt;0,2,0.5),IF(OR(AK20='Resultats Reals'!$C$32,AK20='Resultats Reals'!$C$33,COUNTIF('Resultats Reals'!$E$2:$E$33,AK20)&gt;0),1,0))+IF(AL20='Resultats Reals'!$C$37,IF(COUNTIF('Resultats Reals'!$E$2:$E$33,AL20)&gt;0,2,0.5),IF(OR(AL20='Resultats Reals'!$C$35,AL20='Resultats Reals'!$C$36,COUNTIF('Resultats Reals'!$E$2:$E$33,AL20)&gt;0),1,0))</f>
        <v>17.5</v>
      </c>
      <c r="BX20">
        <f>IF(COUNTIF('Resultats Reals'!$F$2:$F$17,AM20)&gt;0,1,0)+IF(COUNTIF('Resultats Reals'!$F$2:$F$17,AN20)&gt;0,1,0)+IF(COUNTIF('Resultats Reals'!$F$2:$F$17,AO20)&gt;0,1,0)+IF(COUNTIF('Resultats Reals'!$F$2:$F$17,AP20)&gt;0,1,0)+IF(COUNTIF('Resultats Reals'!$F$2:$F$17,AQ20)&gt;0,1,0)+IF(COUNTIF('Resultats Reals'!$F$2:$F$17,AR20)&gt;0,1,0)+IF(COUNTIF('Resultats Reals'!$F$2:$F$17,AS20)&gt;0,1,0)+IF(COUNTIF('Resultats Reals'!$F$2:$F$17,AT20)&gt;0,1,0)+IF(COUNTIF('Resultats Reals'!$F$2:$F$17,AU20)&gt;0,1,0)+IF(COUNTIF('Resultats Reals'!$F$2:$F$17,AV20)&gt;0,1,0)+IF(COUNTIF('Resultats Reals'!$F$2:$F$17,AW20)&gt;0,1,0)+IF(COUNTIF('Resultats Reals'!$F$2:$F$17,AX20)&gt;0,1,0)+IF(COUNTIF('Resultats Reals'!$F$2:$F$17,AY20)&gt;0,1,0)+IF(COUNTIF('Resultats Reals'!$F$2:$F$17,AZ20)&gt;0,1,0)+IF(COUNTIF('Resultats Reals'!$F$2:$F$17,BA20)&gt;0,1,0)+IF(COUNTIF('Resultats Reals'!$F$2:$F$17,BB20)&gt;0,1,0)</f>
        <v>11</v>
      </c>
      <c r="BY20">
        <f>IF(COUNTIF('Resultats Reals'!$G$2:$G$9,BC20)&gt;0,1,0)+IF(COUNTIF('Resultats Reals'!$G$2:$G$9,BD20)&gt;0,1,0)+IF(COUNTIF('Resultats Reals'!$G$2:$G$9,BE20)&gt;0,1,0)+IF(COUNTIF('Resultats Reals'!$G$2:$G$9,BF20)&gt;0,1,0)+IF(COUNTIF('Resultats Reals'!$G$2:$G$9,BG20)&gt;0,1,0)+IF(COUNTIF('Resultats Reals'!$G$2:$G$9,BH20)&gt;0,1,0)+IF(COUNTIF('Resultats Reals'!$G$2:$G$9,BI20)&gt;0,1,0)+IF(COUNTIF('Resultats Reals'!$G$2:$G$9,BJ20)&gt;0,1,0)</f>
        <v>6</v>
      </c>
      <c r="BZ20">
        <f>IF(COUNTIF('Resultats Reals'!$H$2:$H$5,BK20)&gt;0,1,0)+IF(COUNTIF('Resultats Reals'!$H$2:$H$5,BL20)&gt;0,1,0)+IF(COUNTIF('Resultats Reals'!$H$2:$H$5,BM20)&gt;0,1,0)+IF(COUNTIF('Resultats Reals'!$H$2:$H$5,BN20)&gt;0,1,0)</f>
        <v>4</v>
      </c>
      <c r="CA20">
        <f>IF(COUNTIF('Resultats Reals'!$I$2:$I$3,BO20)&gt;0,3,0)+IF(COUNTIF('Resultats Reals'!$I$2:$I$3,BP20)&gt;0,3,0)</f>
        <v>0</v>
      </c>
      <c r="CB20">
        <f>IF(BQ20='Resultats Reals'!$J$2,5,0)</f>
        <v>0</v>
      </c>
      <c r="CC20">
        <f>IF(BS20='Resultats Reals'!$K$2,5,0)</f>
        <v>0</v>
      </c>
      <c r="CD20">
        <f>IFERROR(VLOOKUP(BT20,'Resultats Reals'!$N$2:$O$100,2,FALSE),0)</f>
        <v>6</v>
      </c>
      <c r="CE20">
        <f>IF(BR20='Resultats Reals'!$L$2,5,0)</f>
        <v>0</v>
      </c>
      <c r="CF20" s="7">
        <f t="shared" si="0"/>
        <v>80.5</v>
      </c>
    </row>
    <row r="21" spans="1:84" x14ac:dyDescent="0.25">
      <c r="A21" t="s">
        <v>84</v>
      </c>
      <c r="B21" t="s">
        <v>85</v>
      </c>
      <c r="C21" t="s">
        <v>86</v>
      </c>
      <c r="D21" t="s">
        <v>87</v>
      </c>
      <c r="E21" t="s">
        <v>88</v>
      </c>
      <c r="F21" t="s">
        <v>89</v>
      </c>
      <c r="G21" t="s">
        <v>90</v>
      </c>
      <c r="H21" t="s">
        <v>91</v>
      </c>
      <c r="I21" t="s">
        <v>92</v>
      </c>
      <c r="J21" t="s">
        <v>93</v>
      </c>
      <c r="K21" t="s">
        <v>94</v>
      </c>
      <c r="L21" t="s">
        <v>95</v>
      </c>
      <c r="M21" t="s">
        <v>96</v>
      </c>
      <c r="N21" t="s">
        <v>97</v>
      </c>
      <c r="O21" t="s">
        <v>98</v>
      </c>
      <c r="P21" t="s">
        <v>99</v>
      </c>
      <c r="Q21" t="s">
        <v>100</v>
      </c>
      <c r="R21" t="s">
        <v>101</v>
      </c>
      <c r="S21" t="s">
        <v>102</v>
      </c>
      <c r="T21" t="s">
        <v>103</v>
      </c>
      <c r="U21" t="s">
        <v>104</v>
      </c>
      <c r="V21" t="s">
        <v>105</v>
      </c>
      <c r="W21" t="s">
        <v>106</v>
      </c>
      <c r="X21" t="s">
        <v>107</v>
      </c>
      <c r="Y21" t="s">
        <v>108</v>
      </c>
      <c r="Z21" t="s">
        <v>109</v>
      </c>
      <c r="AA21" t="s">
        <v>110</v>
      </c>
      <c r="AB21" t="s">
        <v>245</v>
      </c>
      <c r="AC21" t="s">
        <v>111</v>
      </c>
      <c r="AD21" t="s">
        <v>112</v>
      </c>
      <c r="AE21" t="s">
        <v>113</v>
      </c>
      <c r="AF21" t="s">
        <v>114</v>
      </c>
      <c r="AG21" t="s">
        <v>115</v>
      </c>
      <c r="AH21" t="s">
        <v>116</v>
      </c>
      <c r="AI21" t="s">
        <v>117</v>
      </c>
      <c r="AJ21" t="s">
        <v>118</v>
      </c>
      <c r="AK21" t="s">
        <v>119</v>
      </c>
      <c r="AL21" t="s">
        <v>120</v>
      </c>
      <c r="AM21" t="s">
        <v>99</v>
      </c>
      <c r="AN21" t="s">
        <v>88</v>
      </c>
      <c r="AO21" t="s">
        <v>90</v>
      </c>
      <c r="AP21" t="s">
        <v>91</v>
      </c>
      <c r="AQ21" t="s">
        <v>102</v>
      </c>
      <c r="AR21" t="s">
        <v>94</v>
      </c>
      <c r="AS21" t="s">
        <v>86</v>
      </c>
      <c r="AT21" t="s">
        <v>97</v>
      </c>
      <c r="AU21" t="s">
        <v>92</v>
      </c>
      <c r="AV21" t="s">
        <v>89</v>
      </c>
      <c r="AW21" t="s">
        <v>93</v>
      </c>
      <c r="AX21" t="s">
        <v>109</v>
      </c>
      <c r="AY21" t="s">
        <v>87</v>
      </c>
      <c r="AZ21" t="s">
        <v>101</v>
      </c>
      <c r="BA21" t="s">
        <v>95</v>
      </c>
      <c r="BB21" t="s">
        <v>96</v>
      </c>
      <c r="BC21" t="s">
        <v>88</v>
      </c>
      <c r="BD21" t="s">
        <v>90</v>
      </c>
      <c r="BE21" t="s">
        <v>94</v>
      </c>
      <c r="BF21" t="s">
        <v>97</v>
      </c>
      <c r="BG21" t="s">
        <v>92</v>
      </c>
      <c r="BH21" t="s">
        <v>93</v>
      </c>
      <c r="BI21" t="s">
        <v>87</v>
      </c>
      <c r="BJ21" t="s">
        <v>95</v>
      </c>
      <c r="BK21" t="s">
        <v>90</v>
      </c>
      <c r="BL21" t="s">
        <v>97</v>
      </c>
      <c r="BM21" t="s">
        <v>93</v>
      </c>
      <c r="BN21" t="s">
        <v>95</v>
      </c>
      <c r="BO21" t="s">
        <v>97</v>
      </c>
      <c r="BP21" t="s">
        <v>93</v>
      </c>
      <c r="BQ21" t="s">
        <v>93</v>
      </c>
      <c r="BS21" t="s">
        <v>121</v>
      </c>
      <c r="BT21" t="s">
        <v>122</v>
      </c>
      <c r="BU21">
        <f>IF(C21='Resultats Reals'!$C$2,2,IF(OR(C21='Resultats Reals'!$C$3,COUNTIF('Resultats Reals'!$E$2:$E$33,C21)&gt;0),1,0))+IF(D21='Resultats Reals'!$C$5,2,IF(OR(D21='Resultats Reals'!$C$6,COUNTIF('Resultats Reals'!$E$2:$E$33,D21)&gt;0),1,0))+IF(E21='Resultats Reals'!$C$8,2,IF(OR(E21='Resultats Reals'!$C$9,COUNTIF('Resultats Reals'!$E$2:$E$33,E21)&gt;0),1,0))+IF(F21='Resultats Reals'!$C$11,2,IF(OR(F21='Resultats Reals'!$C$12,COUNTIF('Resultats Reals'!$E$2:$E$33,F21)&gt;0),1,0))+IF(G21='Resultats Reals'!$C$14,2,IF(OR(G21='Resultats Reals'!$C$15,COUNTIF('Resultats Reals'!$E$2:$E$33,G21)&gt;0),1,0))+IF(H21='Resultats Reals'!$C$17,2,IF(OR(H21='Resultats Reals'!$C$18,COUNTIF('Resultats Reals'!$E$2:$E$33,H21)&gt;0),1,0))+IF(I21='Resultats Reals'!$C$20,2,IF(OR(I21='Resultats Reals'!$C$21,COUNTIF('Resultats Reals'!$E$2:$E$33,I21)&gt;0),1,0))+IF(J21='Resultats Reals'!$C$23,2,IF(OR(J21='Resultats Reals'!$C$24,COUNTIF('Resultats Reals'!$E$2:$E$33,J21)&gt;0),1,0))+IF(K21='Resultats Reals'!$C$26,2,IF(OR(K21='Resultats Reals'!$C$27,COUNTIF('Resultats Reals'!$E$2:$E$33,K21)&gt;0),1,0))+IF(L21='Resultats Reals'!$C$29,2,IF(OR(L21='Resultats Reals'!$C$30,COUNTIF('Resultats Reals'!$E$2:$E$33,L21)&gt;0),1,0))+IF(M21='Resultats Reals'!$C$32,2,IF(OR(M21='Resultats Reals'!$C$33,COUNTIF('Resultats Reals'!$E$2:$E$33,M21)&gt;0),1,0))+IF(N21='Resultats Reals'!$C$35,2,IF(OR(N21='Resultats Reals'!$C$36,COUNTIF('Resultats Reals'!$E$2:$E$33,N21)&gt;0),1,0))</f>
        <v>23</v>
      </c>
      <c r="BV21">
        <f>IF(O21='Resultats Reals'!$C$3,2,IF(OR(O21='Resultats Reals'!$C$2,COUNTIF('Resultats Reals'!$E$2:$E$33,O21)&gt;0),1,0))+IF(P21='Resultats Reals'!$C$6,2,IF(OR(P21='Resultats Reals'!$C$5,COUNTIF('Resultats Reals'!$E$2:$E$33,P21)&gt;0),1,0))+IF(Q21='Resultats Reals'!$C$9,2,IF(OR(Q21='Resultats Reals'!$C$8,COUNTIF('Resultats Reals'!$E$2:$E$33,Q21)&gt;0),1,0))+IF(R21='Resultats Reals'!$C$12,2,IF(OR(R21='Resultats Reals'!$C$11,COUNTIF('Resultats Reals'!$E$2:$E$33,R21)&gt;0),1,0))+IF(S21='Resultats Reals'!$C$15,2,IF(OR(S21='Resultats Reals'!$C$14,COUNTIF('Resultats Reals'!$E$2:$E$33,S21)&gt;0),1,0))+IF(T21='Resultats Reals'!$C$18,2,IF(OR(T21='Resultats Reals'!$C$17,COUNTIF('Resultats Reals'!$E$2:$E$33,T21)&gt;0),1,0))+IF(U21='Resultats Reals'!$C$21,2,IF(OR(U21='Resultats Reals'!$C$20,COUNTIF('Resultats Reals'!$E$2:$E$33,U21)&gt;0),1,0))+IF(V21='Resultats Reals'!$C$24,2,IF(OR(V21='Resultats Reals'!$C$23,COUNTIF('Resultats Reals'!$E$2:$E$33,V21)&gt;0),1,0))+IF(W21='Resultats Reals'!$C$27,2,IF(OR(W21='Resultats Reals'!$C$26,COUNTIF('Resultats Reals'!$E$2:$E$33,W21)&gt;0),1,0))+IF(X21='Resultats Reals'!$C$30,2,IF(OR(X21='Resultats Reals'!$C$29,COUNTIF('Resultats Reals'!$E$2:$E$33,X21)&gt;0),1,0))+IF(Y21='Resultats Reals'!$C$33,2,IF(OR(Y21='Resultats Reals'!$C$32,COUNTIF('Resultats Reals'!$E$2:$E$33,Y21)&gt;0),1,0))+IF(Z21='Resultats Reals'!$C$36,2,IF(OR(Z21='Resultats Reals'!$C$35,COUNTIF('Resultats Reals'!$E$2:$E$33,Z21)&gt;0),1,0))</f>
        <v>14</v>
      </c>
      <c r="BW21">
        <f>IF(AA21='Resultats Reals'!$C$4,IF(COUNTIF('Resultats Reals'!$E$2:$E$33,AA21)&gt;0,2,0.5),IF(OR(AA21='Resultats Reals'!$C$2,AA21='Resultats Reals'!$C$3,COUNTIF('Resultats Reals'!$E$2:$E$33,AA21)&gt;0),1,0))+IF(AB21='Resultats Reals'!$C$7,IF(COUNTIF('Resultats Reals'!$E$2:$E$33,AB21)&gt;0,2,0.5),IF(OR(AB21='Resultats Reals'!$C$5,AB21='Resultats Reals'!$C$6,COUNTIF('Resultats Reals'!$E$2:$E$33,AB21)&gt;0),1,0))+IF(AC21='Resultats Reals'!$C$10,IF(COUNTIF('Resultats Reals'!$E$2:$E$33,AC21)&gt;0,2,0.5),IF(OR(AC21='Resultats Reals'!$C$8,AC21='Resultats Reals'!$C$9,COUNTIF('Resultats Reals'!$E$2:$E$33,AC21)&gt;0),1,0))+IF(AD21='Resultats Reals'!$C$13,IF(COUNTIF('Resultats Reals'!$E$2:$E$33,AD21)&gt;0,2,0.5),IF(OR(AD21='Resultats Reals'!$C$11,AD21='Resultats Reals'!$C$12,COUNTIF('Resultats Reals'!$E$2:$E$33,AD21)&gt;0),1,0))+IF(AE21='Resultats Reals'!$C$16,IF(COUNTIF('Resultats Reals'!$E$2:$E$33,AE21)&gt;0,2,0.5),IF(OR(AE21='Resultats Reals'!$C$14,AE21='Resultats Reals'!$C$15,COUNTIF('Resultats Reals'!$E$2:$E$33,AE21)&gt;0),1,0))+IF(AF21='Resultats Reals'!$C$19,IF(COUNTIF('Resultats Reals'!$E$2:$E$33,AF21)&gt;0,2,0.5),IF(OR(AF21='Resultats Reals'!$C$17,AF21='Resultats Reals'!$C$18,COUNTIF('Resultats Reals'!$E$2:$E$33,AF21)&gt;0),1,0))+IF(AG21='Resultats Reals'!$C$22,IF(COUNTIF('Resultats Reals'!$E$2:$E$33,AG21)&gt;0,2,0.5),IF(OR(AG21='Resultats Reals'!$C$20,AG21='Resultats Reals'!$C$21,COUNTIF('Resultats Reals'!$E$2:$E$33,AG21)&gt;0),1,0))+IF(AH21='Resultats Reals'!$C$25,IF(COUNTIF('Resultats Reals'!$E$2:$E$33,AH21)&gt;0,2,0.5),IF(OR(AH21='Resultats Reals'!$C$23,AH21='Resultats Reals'!$C$24,COUNTIF('Resultats Reals'!$E$2:$E$33,AH21)&gt;0),1,0))+IF(AI21='Resultats Reals'!$C$28,IF(COUNTIF('Resultats Reals'!$E$2:$E$33,AI21)&gt;0,2,0.5),IF(OR(AI21='Resultats Reals'!$C$26,AI21='Resultats Reals'!$C$27,COUNTIF('Resultats Reals'!$E$2:$E$33,AI21)&gt;0),1,0))+IF(AJ21='Resultats Reals'!$C$31,IF(COUNTIF('Resultats Reals'!$E$2:$E$33,AJ21)&gt;0,2,0.5),IF(OR(AJ21='Resultats Reals'!$C$29,AJ21='Resultats Reals'!$C$30,COUNTIF('Resultats Reals'!$E$2:$E$33,AJ21)&gt;0),1,0))+IF(AK21='Resultats Reals'!$C$34,IF(COUNTIF('Resultats Reals'!$E$2:$E$33,AK21)&gt;0,2,0.5),IF(OR(AK21='Resultats Reals'!$C$32,AK21='Resultats Reals'!$C$33,COUNTIF('Resultats Reals'!$E$2:$E$33,AK21)&gt;0),1,0))+IF(AL21='Resultats Reals'!$C$37,IF(COUNTIF('Resultats Reals'!$E$2:$E$33,AL21)&gt;0,2,0.5),IF(OR(AL21='Resultats Reals'!$C$35,AL21='Resultats Reals'!$C$36,COUNTIF('Resultats Reals'!$E$2:$E$33,AL21)&gt;0),1,0))</f>
        <v>12</v>
      </c>
      <c r="BX21">
        <f>IF(COUNTIF('Resultats Reals'!$F$2:$F$17,AM21)&gt;0,1,0)+IF(COUNTIF('Resultats Reals'!$F$2:$F$17,AN21)&gt;0,1,0)+IF(COUNTIF('Resultats Reals'!$F$2:$F$17,AO21)&gt;0,1,0)+IF(COUNTIF('Resultats Reals'!$F$2:$F$17,AP21)&gt;0,1,0)+IF(COUNTIF('Resultats Reals'!$F$2:$F$17,AQ21)&gt;0,1,0)+IF(COUNTIF('Resultats Reals'!$F$2:$F$17,AR21)&gt;0,1,0)+IF(COUNTIF('Resultats Reals'!$F$2:$F$17,AS21)&gt;0,1,0)+IF(COUNTIF('Resultats Reals'!$F$2:$F$17,AT21)&gt;0,1,0)+IF(COUNTIF('Resultats Reals'!$F$2:$F$17,AU21)&gt;0,1,0)+IF(COUNTIF('Resultats Reals'!$F$2:$F$17,AV21)&gt;0,1,0)+IF(COUNTIF('Resultats Reals'!$F$2:$F$17,AW21)&gt;0,1,0)+IF(COUNTIF('Resultats Reals'!$F$2:$F$17,AX21)&gt;0,1,0)+IF(COUNTIF('Resultats Reals'!$F$2:$F$17,AY21)&gt;0,1,0)+IF(COUNTIF('Resultats Reals'!$F$2:$F$17,AZ21)&gt;0,1,0)+IF(COUNTIF('Resultats Reals'!$F$2:$F$17,BA21)&gt;0,1,0)+IF(COUNTIF('Resultats Reals'!$F$2:$F$17,BB21)&gt;0,1,0)</f>
        <v>11</v>
      </c>
      <c r="BY21">
        <f>IF(COUNTIF('Resultats Reals'!$G$2:$G$9,BC21)&gt;0,1,0)+IF(COUNTIF('Resultats Reals'!$G$2:$G$9,BD21)&gt;0,1,0)+IF(COUNTIF('Resultats Reals'!$G$2:$G$9,BE21)&gt;0,1,0)+IF(COUNTIF('Resultats Reals'!$G$2:$G$9,BF21)&gt;0,1,0)+IF(COUNTIF('Resultats Reals'!$G$2:$G$9,BG21)&gt;0,1,0)+IF(COUNTIF('Resultats Reals'!$G$2:$G$9,BH21)&gt;0,1,0)+IF(COUNTIF('Resultats Reals'!$G$2:$G$9,BI21)&gt;0,1,0)+IF(COUNTIF('Resultats Reals'!$G$2:$G$9,BJ21)&gt;0,1,0)</f>
        <v>6</v>
      </c>
      <c r="BZ21">
        <f>IF(COUNTIF('Resultats Reals'!$H$2:$H$5,BK21)&gt;0,1,0)+IF(COUNTIF('Resultats Reals'!$H$2:$H$5,BL21)&gt;0,1,0)+IF(COUNTIF('Resultats Reals'!$H$2:$H$5,BM21)&gt;0,1,0)+IF(COUNTIF('Resultats Reals'!$H$2:$H$5,BN21)&gt;0,1,0)</f>
        <v>3</v>
      </c>
      <c r="CA21">
        <f>IF(COUNTIF('Resultats Reals'!$I$2:$I$3,BO21)&gt;0,3,0)+IF(COUNTIF('Resultats Reals'!$I$2:$I$3,BP21)&gt;0,3,0)</f>
        <v>0</v>
      </c>
      <c r="CB21">
        <f>IF(BQ21='Resultats Reals'!$J$2,5,0)</f>
        <v>0</v>
      </c>
      <c r="CC21">
        <f>IF(BS21='Resultats Reals'!$K$2,5,0)</f>
        <v>0</v>
      </c>
      <c r="CD21">
        <f>IFERROR(VLOOKUP(BT21,'Resultats Reals'!$N$2:$O$100,2,FALSE),0)</f>
        <v>4</v>
      </c>
      <c r="CE21">
        <f>IF(BR21='Resultats Reals'!$L$2,5,0)</f>
        <v>0</v>
      </c>
      <c r="CF21" s="7">
        <f t="shared" si="0"/>
        <v>73</v>
      </c>
    </row>
    <row r="22" spans="1:84" x14ac:dyDescent="0.25">
      <c r="A22" t="s">
        <v>158</v>
      </c>
      <c r="B22" t="s">
        <v>135</v>
      </c>
      <c r="C22" t="s">
        <v>86</v>
      </c>
      <c r="D22" t="s">
        <v>87</v>
      </c>
      <c r="E22" t="s">
        <v>88</v>
      </c>
      <c r="F22" t="s">
        <v>89</v>
      </c>
      <c r="G22" t="s">
        <v>90</v>
      </c>
      <c r="H22" t="s">
        <v>91</v>
      </c>
      <c r="I22" t="s">
        <v>92</v>
      </c>
      <c r="J22" t="s">
        <v>93</v>
      </c>
      <c r="K22" t="s">
        <v>94</v>
      </c>
      <c r="L22" t="s">
        <v>95</v>
      </c>
      <c r="M22" t="s">
        <v>108</v>
      </c>
      <c r="N22" t="s">
        <v>97</v>
      </c>
      <c r="O22" t="s">
        <v>110</v>
      </c>
      <c r="P22" t="s">
        <v>99</v>
      </c>
      <c r="Q22" t="s">
        <v>100</v>
      </c>
      <c r="R22" t="s">
        <v>101</v>
      </c>
      <c r="S22" t="s">
        <v>102</v>
      </c>
      <c r="T22" t="s">
        <v>114</v>
      </c>
      <c r="U22" t="s">
        <v>104</v>
      </c>
      <c r="V22" t="s">
        <v>105</v>
      </c>
      <c r="W22" t="s">
        <v>117</v>
      </c>
      <c r="X22" t="s">
        <v>107</v>
      </c>
      <c r="Y22" t="s">
        <v>96</v>
      </c>
      <c r="Z22" t="s">
        <v>109</v>
      </c>
      <c r="AA22" t="s">
        <v>98</v>
      </c>
      <c r="AB22" t="s">
        <v>245</v>
      </c>
      <c r="AC22" t="s">
        <v>111</v>
      </c>
      <c r="AD22" t="s">
        <v>112</v>
      </c>
      <c r="AE22" t="s">
        <v>113</v>
      </c>
      <c r="AF22" t="s">
        <v>103</v>
      </c>
      <c r="AG22" t="s">
        <v>138</v>
      </c>
      <c r="AH22" t="s">
        <v>116</v>
      </c>
      <c r="AI22" t="s">
        <v>106</v>
      </c>
      <c r="AJ22" t="s">
        <v>118</v>
      </c>
      <c r="AK22" t="s">
        <v>127</v>
      </c>
      <c r="AL22" t="s">
        <v>144</v>
      </c>
      <c r="AM22" t="s">
        <v>88</v>
      </c>
      <c r="AN22" t="s">
        <v>95</v>
      </c>
      <c r="AO22" t="s">
        <v>93</v>
      </c>
      <c r="AP22" t="s">
        <v>100</v>
      </c>
      <c r="AQ22" t="s">
        <v>108</v>
      </c>
      <c r="AR22" t="s">
        <v>94</v>
      </c>
      <c r="AS22" t="s">
        <v>90</v>
      </c>
      <c r="AT22" t="s">
        <v>96</v>
      </c>
      <c r="AU22" t="s">
        <v>97</v>
      </c>
      <c r="AV22" t="s">
        <v>91</v>
      </c>
      <c r="AW22" t="s">
        <v>92</v>
      </c>
      <c r="AX22" t="s">
        <v>105</v>
      </c>
      <c r="AY22" t="s">
        <v>114</v>
      </c>
      <c r="AZ22" t="s">
        <v>109</v>
      </c>
      <c r="BA22" t="s">
        <v>89</v>
      </c>
      <c r="BB22" t="s">
        <v>86</v>
      </c>
      <c r="BC22" t="s">
        <v>95</v>
      </c>
      <c r="BD22" t="s">
        <v>94</v>
      </c>
      <c r="BE22" t="s">
        <v>93</v>
      </c>
      <c r="BF22" t="s">
        <v>91</v>
      </c>
      <c r="BG22" t="s">
        <v>97</v>
      </c>
      <c r="BH22" t="s">
        <v>88</v>
      </c>
      <c r="BI22" t="s">
        <v>96</v>
      </c>
      <c r="BJ22" t="s">
        <v>105</v>
      </c>
      <c r="BK22" t="s">
        <v>95</v>
      </c>
      <c r="BL22" t="s">
        <v>94</v>
      </c>
      <c r="BM22" t="s">
        <v>91</v>
      </c>
      <c r="BN22" t="s">
        <v>93</v>
      </c>
      <c r="BO22" t="s">
        <v>93</v>
      </c>
      <c r="BP22" t="s">
        <v>95</v>
      </c>
      <c r="BQ22" t="s">
        <v>93</v>
      </c>
      <c r="BS22" t="s">
        <v>150</v>
      </c>
      <c r="BT22" t="s">
        <v>145</v>
      </c>
      <c r="BU22">
        <f>IF(C22='Resultats Reals'!$C$2,2,IF(OR(C22='Resultats Reals'!$C$3,COUNTIF('Resultats Reals'!$E$2:$E$33,C22)&gt;0),1,0))+IF(D22='Resultats Reals'!$C$5,2,IF(OR(D22='Resultats Reals'!$C$6,COUNTIF('Resultats Reals'!$E$2:$E$33,D22)&gt;0),1,0))+IF(E22='Resultats Reals'!$C$8,2,IF(OR(E22='Resultats Reals'!$C$9,COUNTIF('Resultats Reals'!$E$2:$E$33,E22)&gt;0),1,0))+IF(F22='Resultats Reals'!$C$11,2,IF(OR(F22='Resultats Reals'!$C$12,COUNTIF('Resultats Reals'!$E$2:$E$33,F22)&gt;0),1,0))+IF(G22='Resultats Reals'!$C$14,2,IF(OR(G22='Resultats Reals'!$C$15,COUNTIF('Resultats Reals'!$E$2:$E$33,G22)&gt;0),1,0))+IF(H22='Resultats Reals'!$C$17,2,IF(OR(H22='Resultats Reals'!$C$18,COUNTIF('Resultats Reals'!$E$2:$E$33,H22)&gt;0),1,0))+IF(I22='Resultats Reals'!$C$20,2,IF(OR(I22='Resultats Reals'!$C$21,COUNTIF('Resultats Reals'!$E$2:$E$33,I22)&gt;0),1,0))+IF(J22='Resultats Reals'!$C$23,2,IF(OR(J22='Resultats Reals'!$C$24,COUNTIF('Resultats Reals'!$E$2:$E$33,J22)&gt;0),1,0))+IF(K22='Resultats Reals'!$C$26,2,IF(OR(K22='Resultats Reals'!$C$27,COUNTIF('Resultats Reals'!$E$2:$E$33,K22)&gt;0),1,0))+IF(L22='Resultats Reals'!$C$29,2,IF(OR(L22='Resultats Reals'!$C$30,COUNTIF('Resultats Reals'!$E$2:$E$33,L22)&gt;0),1,0))+IF(M22='Resultats Reals'!$C$32,2,IF(OR(M22='Resultats Reals'!$C$33,COUNTIF('Resultats Reals'!$E$2:$E$33,M22)&gt;0),1,0))+IF(N22='Resultats Reals'!$C$35,2,IF(OR(N22='Resultats Reals'!$C$36,COUNTIF('Resultats Reals'!$E$2:$E$33,N22)&gt;0),1,0))</f>
        <v>24</v>
      </c>
      <c r="BV22">
        <f>IF(O22='Resultats Reals'!$C$3,2,IF(OR(O22='Resultats Reals'!$C$2,COUNTIF('Resultats Reals'!$E$2:$E$33,O22)&gt;0),1,0))+IF(P22='Resultats Reals'!$C$6,2,IF(OR(P22='Resultats Reals'!$C$5,COUNTIF('Resultats Reals'!$E$2:$E$33,P22)&gt;0),1,0))+IF(Q22='Resultats Reals'!$C$9,2,IF(OR(Q22='Resultats Reals'!$C$8,COUNTIF('Resultats Reals'!$E$2:$E$33,Q22)&gt;0),1,0))+IF(R22='Resultats Reals'!$C$12,2,IF(OR(R22='Resultats Reals'!$C$11,COUNTIF('Resultats Reals'!$E$2:$E$33,R22)&gt;0),1,0))+IF(S22='Resultats Reals'!$C$15,2,IF(OR(S22='Resultats Reals'!$C$14,COUNTIF('Resultats Reals'!$E$2:$E$33,S22)&gt;0),1,0))+IF(T22='Resultats Reals'!$C$18,2,IF(OR(T22='Resultats Reals'!$C$17,COUNTIF('Resultats Reals'!$E$2:$E$33,T22)&gt;0),1,0))+IF(U22='Resultats Reals'!$C$21,2,IF(OR(U22='Resultats Reals'!$C$20,COUNTIF('Resultats Reals'!$E$2:$E$33,U22)&gt;0),1,0))+IF(V22='Resultats Reals'!$C$24,2,IF(OR(V22='Resultats Reals'!$C$23,COUNTIF('Resultats Reals'!$E$2:$E$33,V22)&gt;0),1,0))+IF(W22='Resultats Reals'!$C$27,2,IF(OR(W22='Resultats Reals'!$C$26,COUNTIF('Resultats Reals'!$E$2:$E$33,W22)&gt;0),1,0))+IF(X22='Resultats Reals'!$C$30,2,IF(OR(X22='Resultats Reals'!$C$29,COUNTIF('Resultats Reals'!$E$2:$E$33,X22)&gt;0),1,0))+IF(Y22='Resultats Reals'!$C$33,2,IF(OR(Y22='Resultats Reals'!$C$32,COUNTIF('Resultats Reals'!$E$2:$E$33,Y22)&gt;0),1,0))+IF(Z22='Resultats Reals'!$C$36,2,IF(OR(Z22='Resultats Reals'!$C$35,COUNTIF('Resultats Reals'!$E$2:$E$33,Z22)&gt;0),1,0))</f>
        <v>17</v>
      </c>
      <c r="BW22">
        <f>IF(AA22='Resultats Reals'!$C$4,IF(COUNTIF('Resultats Reals'!$E$2:$E$33,AA22)&gt;0,2,0.5),IF(OR(AA22='Resultats Reals'!$C$2,AA22='Resultats Reals'!$C$3,COUNTIF('Resultats Reals'!$E$2:$E$33,AA22)&gt;0),1,0))+IF(AB22='Resultats Reals'!$C$7,IF(COUNTIF('Resultats Reals'!$E$2:$E$33,AB22)&gt;0,2,0.5),IF(OR(AB22='Resultats Reals'!$C$5,AB22='Resultats Reals'!$C$6,COUNTIF('Resultats Reals'!$E$2:$E$33,AB22)&gt;0),1,0))+IF(AC22='Resultats Reals'!$C$10,IF(COUNTIF('Resultats Reals'!$E$2:$E$33,AC22)&gt;0,2,0.5),IF(OR(AC22='Resultats Reals'!$C$8,AC22='Resultats Reals'!$C$9,COUNTIF('Resultats Reals'!$E$2:$E$33,AC22)&gt;0),1,0))+IF(AD22='Resultats Reals'!$C$13,IF(COUNTIF('Resultats Reals'!$E$2:$E$33,AD22)&gt;0,2,0.5),IF(OR(AD22='Resultats Reals'!$C$11,AD22='Resultats Reals'!$C$12,COUNTIF('Resultats Reals'!$E$2:$E$33,AD22)&gt;0),1,0))+IF(AE22='Resultats Reals'!$C$16,IF(COUNTIF('Resultats Reals'!$E$2:$E$33,AE22)&gt;0,2,0.5),IF(OR(AE22='Resultats Reals'!$C$14,AE22='Resultats Reals'!$C$15,COUNTIF('Resultats Reals'!$E$2:$E$33,AE22)&gt;0),1,0))+IF(AF22='Resultats Reals'!$C$19,IF(COUNTIF('Resultats Reals'!$E$2:$E$33,AF22)&gt;0,2,0.5),IF(OR(AF22='Resultats Reals'!$C$17,AF22='Resultats Reals'!$C$18,COUNTIF('Resultats Reals'!$E$2:$E$33,AF22)&gt;0),1,0))+IF(AG22='Resultats Reals'!$C$22,IF(COUNTIF('Resultats Reals'!$E$2:$E$33,AG22)&gt;0,2,0.5),IF(OR(AG22='Resultats Reals'!$C$20,AG22='Resultats Reals'!$C$21,COUNTIF('Resultats Reals'!$E$2:$E$33,AG22)&gt;0),1,0))+IF(AH22='Resultats Reals'!$C$25,IF(COUNTIF('Resultats Reals'!$E$2:$E$33,AH22)&gt;0,2,0.5),IF(OR(AH22='Resultats Reals'!$C$23,AH22='Resultats Reals'!$C$24,COUNTIF('Resultats Reals'!$E$2:$E$33,AH22)&gt;0),1,0))+IF(AI22='Resultats Reals'!$C$28,IF(COUNTIF('Resultats Reals'!$E$2:$E$33,AI22)&gt;0,2,0.5),IF(OR(AI22='Resultats Reals'!$C$26,AI22='Resultats Reals'!$C$27,COUNTIF('Resultats Reals'!$E$2:$E$33,AI22)&gt;0),1,0))+IF(AJ22='Resultats Reals'!$C$31,IF(COUNTIF('Resultats Reals'!$E$2:$E$33,AJ22)&gt;0,2,0.5),IF(OR(AJ22='Resultats Reals'!$C$29,AJ22='Resultats Reals'!$C$30,COUNTIF('Resultats Reals'!$E$2:$E$33,AJ22)&gt;0),1,0))+IF(AK22='Resultats Reals'!$C$34,IF(COUNTIF('Resultats Reals'!$E$2:$E$33,AK22)&gt;0,2,0.5),IF(OR(AK22='Resultats Reals'!$C$32,AK22='Resultats Reals'!$C$33,COUNTIF('Resultats Reals'!$E$2:$E$33,AK22)&gt;0),1,0))+IF(AL22='Resultats Reals'!$C$37,IF(COUNTIF('Resultats Reals'!$E$2:$E$33,AL22)&gt;0,2,0.5),IF(OR(AL22='Resultats Reals'!$C$35,AL22='Resultats Reals'!$C$36,COUNTIF('Resultats Reals'!$E$2:$E$33,AL22)&gt;0),1,0))</f>
        <v>14</v>
      </c>
      <c r="BX22">
        <f>IF(COUNTIF('Resultats Reals'!$F$2:$F$17,AM22)&gt;0,1,0)+IF(COUNTIF('Resultats Reals'!$F$2:$F$17,AN22)&gt;0,1,0)+IF(COUNTIF('Resultats Reals'!$F$2:$F$17,AO22)&gt;0,1,0)+IF(COUNTIF('Resultats Reals'!$F$2:$F$17,AP22)&gt;0,1,0)+IF(COUNTIF('Resultats Reals'!$F$2:$F$17,AQ22)&gt;0,1,0)+IF(COUNTIF('Resultats Reals'!$F$2:$F$17,AR22)&gt;0,1,0)+IF(COUNTIF('Resultats Reals'!$F$2:$F$17,AS22)&gt;0,1,0)+IF(COUNTIF('Resultats Reals'!$F$2:$F$17,AT22)&gt;0,1,0)+IF(COUNTIF('Resultats Reals'!$F$2:$F$17,AU22)&gt;0,1,0)+IF(COUNTIF('Resultats Reals'!$F$2:$F$17,AV22)&gt;0,1,0)+IF(COUNTIF('Resultats Reals'!$F$2:$F$17,AW22)&gt;0,1,0)+IF(COUNTIF('Resultats Reals'!$F$2:$F$17,AX22)&gt;0,1,0)+IF(COUNTIF('Resultats Reals'!$F$2:$F$17,AY22)&gt;0,1,0)+IF(COUNTIF('Resultats Reals'!$F$2:$F$17,AZ22)&gt;0,1,0)+IF(COUNTIF('Resultats Reals'!$F$2:$F$17,BA22)&gt;0,1,0)+IF(COUNTIF('Resultats Reals'!$F$2:$F$17,BB22)&gt;0,1,0)</f>
        <v>11</v>
      </c>
      <c r="BY22">
        <f>IF(COUNTIF('Resultats Reals'!$G$2:$G$9,BC22)&gt;0,1,0)+IF(COUNTIF('Resultats Reals'!$G$2:$G$9,BD22)&gt;0,1,0)+IF(COUNTIF('Resultats Reals'!$G$2:$G$9,BE22)&gt;0,1,0)+IF(COUNTIF('Resultats Reals'!$G$2:$G$9,BF22)&gt;0,1,0)+IF(COUNTIF('Resultats Reals'!$G$2:$G$9,BG22)&gt;0,1,0)+IF(COUNTIF('Resultats Reals'!$G$2:$G$9,BH22)&gt;0,1,0)+IF(COUNTIF('Resultats Reals'!$G$2:$G$9,BI22)&gt;0,1,0)+IF(COUNTIF('Resultats Reals'!$G$2:$G$9,BJ22)&gt;0,1,0)</f>
        <v>4</v>
      </c>
      <c r="BZ22">
        <f>IF(COUNTIF('Resultats Reals'!$H$2:$H$5,BK22)&gt;0,1,0)+IF(COUNTIF('Resultats Reals'!$H$2:$H$5,BL22)&gt;0,1,0)+IF(COUNTIF('Resultats Reals'!$H$2:$H$5,BM22)&gt;0,1,0)+IF(COUNTIF('Resultats Reals'!$H$2:$H$5,BN22)&gt;0,1,0)</f>
        <v>3</v>
      </c>
      <c r="CA22">
        <f>IF(COUNTIF('Resultats Reals'!$I$2:$I$3,BO22)&gt;0,3,0)+IF(COUNTIF('Resultats Reals'!$I$2:$I$3,BP22)&gt;0,3,0)</f>
        <v>0</v>
      </c>
      <c r="CB22">
        <f>IF(BQ22='Resultats Reals'!$J$2,5,0)</f>
        <v>0</v>
      </c>
      <c r="CC22">
        <f>IF(BS22='Resultats Reals'!$K$2,5,0)</f>
        <v>0</v>
      </c>
      <c r="CD22">
        <f>IFERROR(VLOOKUP(BT22,'Resultats Reals'!$N$2:$O$100,2,FALSE),0)</f>
        <v>1</v>
      </c>
      <c r="CE22">
        <f>IF(BR22='Resultats Reals'!$L$2,5,0)</f>
        <v>0</v>
      </c>
      <c r="CF22" s="7">
        <f t="shared" si="0"/>
        <v>74</v>
      </c>
    </row>
    <row r="23" spans="1:84" x14ac:dyDescent="0.25">
      <c r="A23" t="s">
        <v>186</v>
      </c>
      <c r="B23" t="s">
        <v>85</v>
      </c>
      <c r="C23" t="s">
        <v>86</v>
      </c>
      <c r="D23" t="s">
        <v>87</v>
      </c>
      <c r="E23" t="s">
        <v>88</v>
      </c>
      <c r="F23" t="s">
        <v>101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97</v>
      </c>
      <c r="O23" t="s">
        <v>110</v>
      </c>
      <c r="P23" t="s">
        <v>245</v>
      </c>
      <c r="Q23" t="s">
        <v>100</v>
      </c>
      <c r="R23" t="s">
        <v>112</v>
      </c>
      <c r="S23" t="s">
        <v>102</v>
      </c>
      <c r="T23" t="s">
        <v>114</v>
      </c>
      <c r="U23" t="s">
        <v>104</v>
      </c>
      <c r="V23" t="s">
        <v>105</v>
      </c>
      <c r="W23" t="s">
        <v>117</v>
      </c>
      <c r="X23" t="s">
        <v>107</v>
      </c>
      <c r="Y23" t="s">
        <v>108</v>
      </c>
      <c r="Z23" t="s">
        <v>109</v>
      </c>
      <c r="AA23" t="s">
        <v>98</v>
      </c>
      <c r="AB23" t="s">
        <v>99</v>
      </c>
      <c r="AC23" t="s">
        <v>111</v>
      </c>
      <c r="AD23" t="s">
        <v>89</v>
      </c>
      <c r="AE23" t="s">
        <v>113</v>
      </c>
      <c r="AF23" t="s">
        <v>103</v>
      </c>
      <c r="AG23" t="s">
        <v>115</v>
      </c>
      <c r="AH23" t="s">
        <v>116</v>
      </c>
      <c r="AI23" t="s">
        <v>106</v>
      </c>
      <c r="AJ23" t="s">
        <v>118</v>
      </c>
      <c r="AK23" t="s">
        <v>127</v>
      </c>
      <c r="AL23" t="s">
        <v>120</v>
      </c>
      <c r="AM23" t="s">
        <v>90</v>
      </c>
      <c r="AN23" t="s">
        <v>94</v>
      </c>
      <c r="AO23" t="s">
        <v>110</v>
      </c>
      <c r="AP23" t="s">
        <v>91</v>
      </c>
      <c r="AQ23" t="s">
        <v>108</v>
      </c>
      <c r="AR23" t="s">
        <v>93</v>
      </c>
      <c r="AS23" t="s">
        <v>101</v>
      </c>
      <c r="AT23" t="s">
        <v>92</v>
      </c>
      <c r="AU23" t="s">
        <v>88</v>
      </c>
      <c r="AV23" t="s">
        <v>117</v>
      </c>
      <c r="AW23" t="s">
        <v>111</v>
      </c>
      <c r="AX23" t="s">
        <v>97</v>
      </c>
      <c r="AY23" t="s">
        <v>95</v>
      </c>
      <c r="AZ23" t="s">
        <v>104</v>
      </c>
      <c r="BA23" t="s">
        <v>87</v>
      </c>
      <c r="BB23" t="s">
        <v>96</v>
      </c>
      <c r="BC23" t="s">
        <v>94</v>
      </c>
      <c r="BD23" t="s">
        <v>91</v>
      </c>
      <c r="BE23" t="s">
        <v>93</v>
      </c>
      <c r="BF23" t="s">
        <v>101</v>
      </c>
      <c r="BG23" t="s">
        <v>88</v>
      </c>
      <c r="BH23" t="s">
        <v>97</v>
      </c>
      <c r="BI23" t="s">
        <v>95</v>
      </c>
      <c r="BJ23" t="s">
        <v>96</v>
      </c>
      <c r="BK23" t="s">
        <v>94</v>
      </c>
      <c r="BL23" t="s">
        <v>93</v>
      </c>
      <c r="BM23" t="s">
        <v>97</v>
      </c>
      <c r="BN23" t="s">
        <v>96</v>
      </c>
      <c r="BO23" t="s">
        <v>93</v>
      </c>
      <c r="BP23" t="s">
        <v>96</v>
      </c>
      <c r="BQ23" t="s">
        <v>93</v>
      </c>
      <c r="BR23" s="6" t="s">
        <v>187</v>
      </c>
      <c r="BS23" t="s">
        <v>121</v>
      </c>
      <c r="BT23" t="s">
        <v>122</v>
      </c>
      <c r="BU23">
        <f>IF(C23='Resultats Reals'!$C$2,2,IF(OR(C23='Resultats Reals'!$C$3,COUNTIF('Resultats Reals'!$E$2:$E$33,C23)&gt;0),1,0))+IF(D23='Resultats Reals'!$C$5,2,IF(OR(D23='Resultats Reals'!$C$6,COUNTIF('Resultats Reals'!$E$2:$E$33,D23)&gt;0),1,0))+IF(E23='Resultats Reals'!$C$8,2,IF(OR(E23='Resultats Reals'!$C$9,COUNTIF('Resultats Reals'!$E$2:$E$33,E23)&gt;0),1,0))+IF(F23='Resultats Reals'!$C$11,2,IF(OR(F23='Resultats Reals'!$C$12,COUNTIF('Resultats Reals'!$E$2:$E$33,F23)&gt;0),1,0))+IF(G23='Resultats Reals'!$C$14,2,IF(OR(G23='Resultats Reals'!$C$15,COUNTIF('Resultats Reals'!$E$2:$E$33,G23)&gt;0),1,0))+IF(H23='Resultats Reals'!$C$17,2,IF(OR(H23='Resultats Reals'!$C$18,COUNTIF('Resultats Reals'!$E$2:$E$33,H23)&gt;0),1,0))+IF(I23='Resultats Reals'!$C$20,2,IF(OR(I23='Resultats Reals'!$C$21,COUNTIF('Resultats Reals'!$E$2:$E$33,I23)&gt;0),1,0))+IF(J23='Resultats Reals'!$C$23,2,IF(OR(J23='Resultats Reals'!$C$24,COUNTIF('Resultats Reals'!$E$2:$E$33,J23)&gt;0),1,0))+IF(K23='Resultats Reals'!$C$26,2,IF(OR(K23='Resultats Reals'!$C$27,COUNTIF('Resultats Reals'!$E$2:$E$33,K23)&gt;0),1,0))+IF(L23='Resultats Reals'!$C$29,2,IF(OR(L23='Resultats Reals'!$C$30,COUNTIF('Resultats Reals'!$E$2:$E$33,L23)&gt;0),1,0))+IF(M23='Resultats Reals'!$C$32,2,IF(OR(M23='Resultats Reals'!$C$33,COUNTIF('Resultats Reals'!$E$2:$E$33,M23)&gt;0),1,0))+IF(N23='Resultats Reals'!$C$35,2,IF(OR(N23='Resultats Reals'!$C$36,COUNTIF('Resultats Reals'!$E$2:$E$33,N23)&gt;0),1,0))</f>
        <v>21</v>
      </c>
      <c r="BV23">
        <f>IF(O23='Resultats Reals'!$C$3,2,IF(OR(O23='Resultats Reals'!$C$2,COUNTIF('Resultats Reals'!$E$2:$E$33,O23)&gt;0),1,0))+IF(P23='Resultats Reals'!$C$6,2,IF(OR(P23='Resultats Reals'!$C$5,COUNTIF('Resultats Reals'!$E$2:$E$33,P23)&gt;0),1,0))+IF(Q23='Resultats Reals'!$C$9,2,IF(OR(Q23='Resultats Reals'!$C$8,COUNTIF('Resultats Reals'!$E$2:$E$33,Q23)&gt;0),1,0))+IF(R23='Resultats Reals'!$C$12,2,IF(OR(R23='Resultats Reals'!$C$11,COUNTIF('Resultats Reals'!$E$2:$E$33,R23)&gt;0),1,0))+IF(S23='Resultats Reals'!$C$15,2,IF(OR(S23='Resultats Reals'!$C$14,COUNTIF('Resultats Reals'!$E$2:$E$33,S23)&gt;0),1,0))+IF(T23='Resultats Reals'!$C$18,2,IF(OR(T23='Resultats Reals'!$C$17,COUNTIF('Resultats Reals'!$E$2:$E$33,T23)&gt;0),1,0))+IF(U23='Resultats Reals'!$C$21,2,IF(OR(U23='Resultats Reals'!$C$20,COUNTIF('Resultats Reals'!$E$2:$E$33,U23)&gt;0),1,0))+IF(V23='Resultats Reals'!$C$24,2,IF(OR(V23='Resultats Reals'!$C$23,COUNTIF('Resultats Reals'!$E$2:$E$33,V23)&gt;0),1,0))+IF(W23='Resultats Reals'!$C$27,2,IF(OR(W23='Resultats Reals'!$C$26,COUNTIF('Resultats Reals'!$E$2:$E$33,W23)&gt;0),1,0))+IF(X23='Resultats Reals'!$C$30,2,IF(OR(X23='Resultats Reals'!$C$29,COUNTIF('Resultats Reals'!$E$2:$E$33,X23)&gt;0),1,0))+IF(Y23='Resultats Reals'!$C$33,2,IF(OR(Y23='Resultats Reals'!$C$32,COUNTIF('Resultats Reals'!$E$2:$E$33,Y23)&gt;0),1,0))+IF(Z23='Resultats Reals'!$C$36,2,IF(OR(Z23='Resultats Reals'!$C$35,COUNTIF('Resultats Reals'!$E$2:$E$33,Z23)&gt;0),1,0))</f>
        <v>16</v>
      </c>
      <c r="BW23">
        <f>IF(AA23='Resultats Reals'!$C$4,IF(COUNTIF('Resultats Reals'!$E$2:$E$33,AA23)&gt;0,2,0.5),IF(OR(AA23='Resultats Reals'!$C$2,AA23='Resultats Reals'!$C$3,COUNTIF('Resultats Reals'!$E$2:$E$33,AA23)&gt;0),1,0))+IF(AB23='Resultats Reals'!$C$7,IF(COUNTIF('Resultats Reals'!$E$2:$E$33,AB23)&gt;0,2,0.5),IF(OR(AB23='Resultats Reals'!$C$5,AB23='Resultats Reals'!$C$6,COUNTIF('Resultats Reals'!$E$2:$E$33,AB23)&gt;0),1,0))+IF(AC23='Resultats Reals'!$C$10,IF(COUNTIF('Resultats Reals'!$E$2:$E$33,AC23)&gt;0,2,0.5),IF(OR(AC23='Resultats Reals'!$C$8,AC23='Resultats Reals'!$C$9,COUNTIF('Resultats Reals'!$E$2:$E$33,AC23)&gt;0),1,0))+IF(AD23='Resultats Reals'!$C$13,IF(COUNTIF('Resultats Reals'!$E$2:$E$33,AD23)&gt;0,2,0.5),IF(OR(AD23='Resultats Reals'!$C$11,AD23='Resultats Reals'!$C$12,COUNTIF('Resultats Reals'!$E$2:$E$33,AD23)&gt;0),1,0))+IF(AE23='Resultats Reals'!$C$16,IF(COUNTIF('Resultats Reals'!$E$2:$E$33,AE23)&gt;0,2,0.5),IF(OR(AE23='Resultats Reals'!$C$14,AE23='Resultats Reals'!$C$15,COUNTIF('Resultats Reals'!$E$2:$E$33,AE23)&gt;0),1,0))+IF(AF23='Resultats Reals'!$C$19,IF(COUNTIF('Resultats Reals'!$E$2:$E$33,AF23)&gt;0,2,0.5),IF(OR(AF23='Resultats Reals'!$C$17,AF23='Resultats Reals'!$C$18,COUNTIF('Resultats Reals'!$E$2:$E$33,AF23)&gt;0),1,0))+IF(AG23='Resultats Reals'!$C$22,IF(COUNTIF('Resultats Reals'!$E$2:$E$33,AG23)&gt;0,2,0.5),IF(OR(AG23='Resultats Reals'!$C$20,AG23='Resultats Reals'!$C$21,COUNTIF('Resultats Reals'!$E$2:$E$33,AG23)&gt;0),1,0))+IF(AH23='Resultats Reals'!$C$25,IF(COUNTIF('Resultats Reals'!$E$2:$E$33,AH23)&gt;0,2,0.5),IF(OR(AH23='Resultats Reals'!$C$23,AH23='Resultats Reals'!$C$24,COUNTIF('Resultats Reals'!$E$2:$E$33,AH23)&gt;0),1,0))+IF(AI23='Resultats Reals'!$C$28,IF(COUNTIF('Resultats Reals'!$E$2:$E$33,AI23)&gt;0,2,0.5),IF(OR(AI23='Resultats Reals'!$C$26,AI23='Resultats Reals'!$C$27,COUNTIF('Resultats Reals'!$E$2:$E$33,AI23)&gt;0),1,0))+IF(AJ23='Resultats Reals'!$C$31,IF(COUNTIF('Resultats Reals'!$E$2:$E$33,AJ23)&gt;0,2,0.5),IF(OR(AJ23='Resultats Reals'!$C$29,AJ23='Resultats Reals'!$C$30,COUNTIF('Resultats Reals'!$E$2:$E$33,AJ23)&gt;0),1,0))+IF(AK23='Resultats Reals'!$C$34,IF(COUNTIF('Resultats Reals'!$E$2:$E$33,AK23)&gt;0,2,0.5),IF(OR(AK23='Resultats Reals'!$C$32,AK23='Resultats Reals'!$C$33,COUNTIF('Resultats Reals'!$E$2:$E$33,AK23)&gt;0),1,0))+IF(AL23='Resultats Reals'!$C$37,IF(COUNTIF('Resultats Reals'!$E$2:$E$33,AL23)&gt;0,2,0.5),IF(OR(AL23='Resultats Reals'!$C$35,AL23='Resultats Reals'!$C$36,COUNTIF('Resultats Reals'!$E$2:$E$33,AL23)&gt;0),1,0))</f>
        <v>14.5</v>
      </c>
      <c r="BX23">
        <f>IF(COUNTIF('Resultats Reals'!$F$2:$F$17,AM23)&gt;0,1,0)+IF(COUNTIF('Resultats Reals'!$F$2:$F$17,AN23)&gt;0,1,0)+IF(COUNTIF('Resultats Reals'!$F$2:$F$17,AO23)&gt;0,1,0)+IF(COUNTIF('Resultats Reals'!$F$2:$F$17,AP23)&gt;0,1,0)+IF(COUNTIF('Resultats Reals'!$F$2:$F$17,AQ23)&gt;0,1,0)+IF(COUNTIF('Resultats Reals'!$F$2:$F$17,AR23)&gt;0,1,0)+IF(COUNTIF('Resultats Reals'!$F$2:$F$17,AS23)&gt;0,1,0)+IF(COUNTIF('Resultats Reals'!$F$2:$F$17,AT23)&gt;0,1,0)+IF(COUNTIF('Resultats Reals'!$F$2:$F$17,AU23)&gt;0,1,0)+IF(COUNTIF('Resultats Reals'!$F$2:$F$17,AV23)&gt;0,1,0)+IF(COUNTIF('Resultats Reals'!$F$2:$F$17,AW23)&gt;0,1,0)+IF(COUNTIF('Resultats Reals'!$F$2:$F$17,AX23)&gt;0,1,0)+IF(COUNTIF('Resultats Reals'!$F$2:$F$17,AY23)&gt;0,1,0)+IF(COUNTIF('Resultats Reals'!$F$2:$F$17,AZ23)&gt;0,1,0)+IF(COUNTIF('Resultats Reals'!$F$2:$F$17,BA23)&gt;0,1,0)+IF(COUNTIF('Resultats Reals'!$F$2:$F$17,BB23)&gt;0,1,0)</f>
        <v>11</v>
      </c>
      <c r="BY23">
        <f>IF(COUNTIF('Resultats Reals'!$G$2:$G$9,BC23)&gt;0,1,0)+IF(COUNTIF('Resultats Reals'!$G$2:$G$9,BD23)&gt;0,1,0)+IF(COUNTIF('Resultats Reals'!$G$2:$G$9,BE23)&gt;0,1,0)+IF(COUNTIF('Resultats Reals'!$G$2:$G$9,BF23)&gt;0,1,0)+IF(COUNTIF('Resultats Reals'!$G$2:$G$9,BG23)&gt;0,1,0)+IF(COUNTIF('Resultats Reals'!$G$2:$G$9,BH23)&gt;0,1,0)+IF(COUNTIF('Resultats Reals'!$G$2:$G$9,BI23)&gt;0,1,0)+IF(COUNTIF('Resultats Reals'!$G$2:$G$9,BJ23)&gt;0,1,0)</f>
        <v>4</v>
      </c>
      <c r="BZ23">
        <f>IF(COUNTIF('Resultats Reals'!$H$2:$H$5,BK23)&gt;0,1,0)+IF(COUNTIF('Resultats Reals'!$H$2:$H$5,BL23)&gt;0,1,0)+IF(COUNTIF('Resultats Reals'!$H$2:$H$5,BM23)&gt;0,1,0)+IF(COUNTIF('Resultats Reals'!$H$2:$H$5,BN23)&gt;0,1,0)</f>
        <v>3</v>
      </c>
      <c r="CA23">
        <f>IF(COUNTIF('Resultats Reals'!$I$2:$I$3,BO23)&gt;0,3,0)+IF(COUNTIF('Resultats Reals'!$I$2:$I$3,BP23)&gt;0,3,0)</f>
        <v>0</v>
      </c>
      <c r="CB23">
        <f>IF(BQ23='Resultats Reals'!$J$2,5,0)</f>
        <v>0</v>
      </c>
      <c r="CC23">
        <f>IF(BS23='Resultats Reals'!$K$2,5,0)</f>
        <v>0</v>
      </c>
      <c r="CD23">
        <f>IFERROR(VLOOKUP(BT23,'Resultats Reals'!$N$2:$O$100,2,FALSE),0)</f>
        <v>4</v>
      </c>
      <c r="CE23">
        <f>IF(BR23='Resultats Reals'!$L$2,5,0)</f>
        <v>0</v>
      </c>
      <c r="CF23" s="7">
        <f t="shared" si="0"/>
        <v>73.5</v>
      </c>
    </row>
    <row r="24" spans="1:84" x14ac:dyDescent="0.25">
      <c r="A24" t="s">
        <v>205</v>
      </c>
      <c r="B24" t="s">
        <v>135</v>
      </c>
      <c r="C24" t="s">
        <v>86</v>
      </c>
      <c r="D24" t="s">
        <v>87</v>
      </c>
      <c r="E24" t="s">
        <v>88</v>
      </c>
      <c r="F24" t="s">
        <v>101</v>
      </c>
      <c r="G24" t="s">
        <v>90</v>
      </c>
      <c r="H24" t="s">
        <v>91</v>
      </c>
      <c r="I24" t="s">
        <v>92</v>
      </c>
      <c r="J24" t="s">
        <v>93</v>
      </c>
      <c r="K24" t="s">
        <v>94</v>
      </c>
      <c r="L24" t="s">
        <v>95</v>
      </c>
      <c r="M24" t="s">
        <v>96</v>
      </c>
      <c r="N24" t="s">
        <v>97</v>
      </c>
      <c r="O24" t="s">
        <v>98</v>
      </c>
      <c r="P24" t="s">
        <v>99</v>
      </c>
      <c r="Q24" t="s">
        <v>100</v>
      </c>
      <c r="R24" t="s">
        <v>89</v>
      </c>
      <c r="S24" t="s">
        <v>206</v>
      </c>
      <c r="T24" t="s">
        <v>114</v>
      </c>
      <c r="U24" t="s">
        <v>104</v>
      </c>
      <c r="V24" t="s">
        <v>105</v>
      </c>
      <c r="W24" t="s">
        <v>106</v>
      </c>
      <c r="X24" t="s">
        <v>107</v>
      </c>
      <c r="Y24" t="s">
        <v>108</v>
      </c>
      <c r="Z24" t="s">
        <v>109</v>
      </c>
      <c r="AA24" t="s">
        <v>110</v>
      </c>
      <c r="AB24" t="s">
        <v>245</v>
      </c>
      <c r="AC24" t="s">
        <v>111</v>
      </c>
      <c r="AD24" t="s">
        <v>126</v>
      </c>
      <c r="AE24" t="s">
        <v>102</v>
      </c>
      <c r="AF24" t="s">
        <v>103</v>
      </c>
      <c r="AG24" t="s">
        <v>115</v>
      </c>
      <c r="AH24" t="s">
        <v>116</v>
      </c>
      <c r="AI24" t="s">
        <v>117</v>
      </c>
      <c r="AJ24" t="s">
        <v>118</v>
      </c>
      <c r="AK24" t="s">
        <v>127</v>
      </c>
      <c r="AL24" t="s">
        <v>120</v>
      </c>
      <c r="AM24" t="s">
        <v>90</v>
      </c>
      <c r="AN24" t="s">
        <v>94</v>
      </c>
      <c r="AO24" t="s">
        <v>98</v>
      </c>
      <c r="AP24" t="s">
        <v>100</v>
      </c>
      <c r="AQ24" t="s">
        <v>109</v>
      </c>
      <c r="AR24" t="s">
        <v>93</v>
      </c>
      <c r="AS24" t="s">
        <v>101</v>
      </c>
      <c r="AT24" t="s">
        <v>92</v>
      </c>
      <c r="AU24" t="s">
        <v>88</v>
      </c>
      <c r="AV24" t="s">
        <v>106</v>
      </c>
      <c r="AW24" t="s">
        <v>86</v>
      </c>
      <c r="AX24" t="s">
        <v>97</v>
      </c>
      <c r="AY24" t="s">
        <v>95</v>
      </c>
      <c r="AZ24" t="s">
        <v>89</v>
      </c>
      <c r="BA24" t="s">
        <v>87</v>
      </c>
      <c r="BB24" t="s">
        <v>96</v>
      </c>
      <c r="BC24" t="s">
        <v>94</v>
      </c>
      <c r="BD24" t="s">
        <v>100</v>
      </c>
      <c r="BE24" t="s">
        <v>93</v>
      </c>
      <c r="BF24" t="s">
        <v>92</v>
      </c>
      <c r="BG24" t="s">
        <v>88</v>
      </c>
      <c r="BH24" t="s">
        <v>97</v>
      </c>
      <c r="BI24" t="s">
        <v>95</v>
      </c>
      <c r="BJ24" t="s">
        <v>96</v>
      </c>
      <c r="BK24" t="s">
        <v>94</v>
      </c>
      <c r="BL24" t="s">
        <v>93</v>
      </c>
      <c r="BM24" t="s">
        <v>95</v>
      </c>
      <c r="BN24" t="s">
        <v>97</v>
      </c>
      <c r="BO24" t="s">
        <v>93</v>
      </c>
      <c r="BP24" t="s">
        <v>97</v>
      </c>
      <c r="BQ24" t="s">
        <v>93</v>
      </c>
      <c r="BR24" s="6" t="s">
        <v>187</v>
      </c>
      <c r="BS24" t="s">
        <v>121</v>
      </c>
      <c r="BT24" t="s">
        <v>154</v>
      </c>
      <c r="BU24">
        <f>IF(C24='Resultats Reals'!$C$2,2,IF(OR(C24='Resultats Reals'!$C$3,COUNTIF('Resultats Reals'!$E$2:$E$33,C24)&gt;0),1,0))+IF(D24='Resultats Reals'!$C$5,2,IF(OR(D24='Resultats Reals'!$C$6,COUNTIF('Resultats Reals'!$E$2:$E$33,D24)&gt;0),1,0))+IF(E24='Resultats Reals'!$C$8,2,IF(OR(E24='Resultats Reals'!$C$9,COUNTIF('Resultats Reals'!$E$2:$E$33,E24)&gt;0),1,0))+IF(F24='Resultats Reals'!$C$11,2,IF(OR(F24='Resultats Reals'!$C$12,COUNTIF('Resultats Reals'!$E$2:$E$33,F24)&gt;0),1,0))+IF(G24='Resultats Reals'!$C$14,2,IF(OR(G24='Resultats Reals'!$C$15,COUNTIF('Resultats Reals'!$E$2:$E$33,G24)&gt;0),1,0))+IF(H24='Resultats Reals'!$C$17,2,IF(OR(H24='Resultats Reals'!$C$18,COUNTIF('Resultats Reals'!$E$2:$E$33,H24)&gt;0),1,0))+IF(I24='Resultats Reals'!$C$20,2,IF(OR(I24='Resultats Reals'!$C$21,COUNTIF('Resultats Reals'!$E$2:$E$33,I24)&gt;0),1,0))+IF(J24='Resultats Reals'!$C$23,2,IF(OR(J24='Resultats Reals'!$C$24,COUNTIF('Resultats Reals'!$E$2:$E$33,J24)&gt;0),1,0))+IF(K24='Resultats Reals'!$C$26,2,IF(OR(K24='Resultats Reals'!$C$27,COUNTIF('Resultats Reals'!$E$2:$E$33,K24)&gt;0),1,0))+IF(L24='Resultats Reals'!$C$29,2,IF(OR(L24='Resultats Reals'!$C$30,COUNTIF('Resultats Reals'!$E$2:$E$33,L24)&gt;0),1,0))+IF(M24='Resultats Reals'!$C$32,2,IF(OR(M24='Resultats Reals'!$C$33,COUNTIF('Resultats Reals'!$E$2:$E$33,M24)&gt;0),1,0))+IF(N24='Resultats Reals'!$C$35,2,IF(OR(N24='Resultats Reals'!$C$36,COUNTIF('Resultats Reals'!$E$2:$E$33,N24)&gt;0),1,0))</f>
        <v>21</v>
      </c>
      <c r="BV24">
        <f>IF(O24='Resultats Reals'!$C$3,2,IF(OR(O24='Resultats Reals'!$C$2,COUNTIF('Resultats Reals'!$E$2:$E$33,O24)&gt;0),1,0))+IF(P24='Resultats Reals'!$C$6,2,IF(OR(P24='Resultats Reals'!$C$5,COUNTIF('Resultats Reals'!$E$2:$E$33,P24)&gt;0),1,0))+IF(Q24='Resultats Reals'!$C$9,2,IF(OR(Q24='Resultats Reals'!$C$8,COUNTIF('Resultats Reals'!$E$2:$E$33,Q24)&gt;0),1,0))+IF(R24='Resultats Reals'!$C$12,2,IF(OR(R24='Resultats Reals'!$C$11,COUNTIF('Resultats Reals'!$E$2:$E$33,R24)&gt;0),1,0))+IF(S24='Resultats Reals'!$C$15,2,IF(OR(S24='Resultats Reals'!$C$14,COUNTIF('Resultats Reals'!$E$2:$E$33,S24)&gt;0),1,0))+IF(T24='Resultats Reals'!$C$18,2,IF(OR(T24='Resultats Reals'!$C$17,COUNTIF('Resultats Reals'!$E$2:$E$33,T24)&gt;0),1,0))+IF(U24='Resultats Reals'!$C$21,2,IF(OR(U24='Resultats Reals'!$C$20,COUNTIF('Resultats Reals'!$E$2:$E$33,U24)&gt;0),1,0))+IF(V24='Resultats Reals'!$C$24,2,IF(OR(V24='Resultats Reals'!$C$23,COUNTIF('Resultats Reals'!$E$2:$E$33,V24)&gt;0),1,0))+IF(W24='Resultats Reals'!$C$27,2,IF(OR(W24='Resultats Reals'!$C$26,COUNTIF('Resultats Reals'!$E$2:$E$33,W24)&gt;0),1,0))+IF(X24='Resultats Reals'!$C$30,2,IF(OR(X24='Resultats Reals'!$C$29,COUNTIF('Resultats Reals'!$E$2:$E$33,X24)&gt;0),1,0))+IF(Y24='Resultats Reals'!$C$33,2,IF(OR(Y24='Resultats Reals'!$C$32,COUNTIF('Resultats Reals'!$E$2:$E$33,Y24)&gt;0),1,0))+IF(Z24='Resultats Reals'!$C$36,2,IF(OR(Z24='Resultats Reals'!$C$35,COUNTIF('Resultats Reals'!$E$2:$E$33,Z24)&gt;0),1,0))</f>
        <v>15</v>
      </c>
      <c r="BW24">
        <f>IF(AA24='Resultats Reals'!$C$4,IF(COUNTIF('Resultats Reals'!$E$2:$E$33,AA24)&gt;0,2,0.5),IF(OR(AA24='Resultats Reals'!$C$2,AA24='Resultats Reals'!$C$3,COUNTIF('Resultats Reals'!$E$2:$E$33,AA24)&gt;0),1,0))+IF(AB24='Resultats Reals'!$C$7,IF(COUNTIF('Resultats Reals'!$E$2:$E$33,AB24)&gt;0,2,0.5),IF(OR(AB24='Resultats Reals'!$C$5,AB24='Resultats Reals'!$C$6,COUNTIF('Resultats Reals'!$E$2:$E$33,AB24)&gt;0),1,0))+IF(AC24='Resultats Reals'!$C$10,IF(COUNTIF('Resultats Reals'!$E$2:$E$33,AC24)&gt;0,2,0.5),IF(OR(AC24='Resultats Reals'!$C$8,AC24='Resultats Reals'!$C$9,COUNTIF('Resultats Reals'!$E$2:$E$33,AC24)&gt;0),1,0))+IF(AD24='Resultats Reals'!$C$13,IF(COUNTIF('Resultats Reals'!$E$2:$E$33,AD24)&gt;0,2,0.5),IF(OR(AD24='Resultats Reals'!$C$11,AD24='Resultats Reals'!$C$12,COUNTIF('Resultats Reals'!$E$2:$E$33,AD24)&gt;0),1,0))+IF(AE24='Resultats Reals'!$C$16,IF(COUNTIF('Resultats Reals'!$E$2:$E$33,AE24)&gt;0,2,0.5),IF(OR(AE24='Resultats Reals'!$C$14,AE24='Resultats Reals'!$C$15,COUNTIF('Resultats Reals'!$E$2:$E$33,AE24)&gt;0),1,0))+IF(AF24='Resultats Reals'!$C$19,IF(COUNTIF('Resultats Reals'!$E$2:$E$33,AF24)&gt;0,2,0.5),IF(OR(AF24='Resultats Reals'!$C$17,AF24='Resultats Reals'!$C$18,COUNTIF('Resultats Reals'!$E$2:$E$33,AF24)&gt;0),1,0))+IF(AG24='Resultats Reals'!$C$22,IF(COUNTIF('Resultats Reals'!$E$2:$E$33,AG24)&gt;0,2,0.5),IF(OR(AG24='Resultats Reals'!$C$20,AG24='Resultats Reals'!$C$21,COUNTIF('Resultats Reals'!$E$2:$E$33,AG24)&gt;0),1,0))+IF(AH24='Resultats Reals'!$C$25,IF(COUNTIF('Resultats Reals'!$E$2:$E$33,AH24)&gt;0,2,0.5),IF(OR(AH24='Resultats Reals'!$C$23,AH24='Resultats Reals'!$C$24,COUNTIF('Resultats Reals'!$E$2:$E$33,AH24)&gt;0),1,0))+IF(AI24='Resultats Reals'!$C$28,IF(COUNTIF('Resultats Reals'!$E$2:$E$33,AI24)&gt;0,2,0.5),IF(OR(AI24='Resultats Reals'!$C$26,AI24='Resultats Reals'!$C$27,COUNTIF('Resultats Reals'!$E$2:$E$33,AI24)&gt;0),1,0))+IF(AJ24='Resultats Reals'!$C$31,IF(COUNTIF('Resultats Reals'!$E$2:$E$33,AJ24)&gt;0,2,0.5),IF(OR(AJ24='Resultats Reals'!$C$29,AJ24='Resultats Reals'!$C$30,COUNTIF('Resultats Reals'!$E$2:$E$33,AJ24)&gt;0),1,0))+IF(AK24='Resultats Reals'!$C$34,IF(COUNTIF('Resultats Reals'!$E$2:$E$33,AK24)&gt;0,2,0.5),IF(OR(AK24='Resultats Reals'!$C$32,AK24='Resultats Reals'!$C$33,COUNTIF('Resultats Reals'!$E$2:$E$33,AK24)&gt;0),1,0))+IF(AL24='Resultats Reals'!$C$37,IF(COUNTIF('Resultats Reals'!$E$2:$E$33,AL24)&gt;0,2,0.5),IF(OR(AL24='Resultats Reals'!$C$35,AL24='Resultats Reals'!$C$36,COUNTIF('Resultats Reals'!$E$2:$E$33,AL24)&gt;0),1,0))</f>
        <v>15</v>
      </c>
      <c r="BX24">
        <f>IF(COUNTIF('Resultats Reals'!$F$2:$F$17,AM24)&gt;0,1,0)+IF(COUNTIF('Resultats Reals'!$F$2:$F$17,AN24)&gt;0,1,0)+IF(COUNTIF('Resultats Reals'!$F$2:$F$17,AO24)&gt;0,1,0)+IF(COUNTIF('Resultats Reals'!$F$2:$F$17,AP24)&gt;0,1,0)+IF(COUNTIF('Resultats Reals'!$F$2:$F$17,AQ24)&gt;0,1,0)+IF(COUNTIF('Resultats Reals'!$F$2:$F$17,AR24)&gt;0,1,0)+IF(COUNTIF('Resultats Reals'!$F$2:$F$17,AS24)&gt;0,1,0)+IF(COUNTIF('Resultats Reals'!$F$2:$F$17,AT24)&gt;0,1,0)+IF(COUNTIF('Resultats Reals'!$F$2:$F$17,AU24)&gt;0,1,0)+IF(COUNTIF('Resultats Reals'!$F$2:$F$17,AV24)&gt;0,1,0)+IF(COUNTIF('Resultats Reals'!$F$2:$F$17,AW24)&gt;0,1,0)+IF(COUNTIF('Resultats Reals'!$F$2:$F$17,AX24)&gt;0,1,0)+IF(COUNTIF('Resultats Reals'!$F$2:$F$17,AY24)&gt;0,1,0)+IF(COUNTIF('Resultats Reals'!$F$2:$F$17,AZ24)&gt;0,1,0)+IF(COUNTIF('Resultats Reals'!$F$2:$F$17,BA24)&gt;0,1,0)+IF(COUNTIF('Resultats Reals'!$F$2:$F$17,BB24)&gt;0,1,0)</f>
        <v>11</v>
      </c>
      <c r="BY24">
        <f>IF(COUNTIF('Resultats Reals'!$G$2:$G$9,BC24)&gt;0,1,0)+IF(COUNTIF('Resultats Reals'!$G$2:$G$9,BD24)&gt;0,1,0)+IF(COUNTIF('Resultats Reals'!$G$2:$G$9,BE24)&gt;0,1,0)+IF(COUNTIF('Resultats Reals'!$G$2:$G$9,BF24)&gt;0,1,0)+IF(COUNTIF('Resultats Reals'!$G$2:$G$9,BG24)&gt;0,1,0)+IF(COUNTIF('Resultats Reals'!$G$2:$G$9,BH24)&gt;0,1,0)+IF(COUNTIF('Resultats Reals'!$G$2:$G$9,BI24)&gt;0,1,0)+IF(COUNTIF('Resultats Reals'!$G$2:$G$9,BJ24)&gt;0,1,0)</f>
        <v>6</v>
      </c>
      <c r="BZ24">
        <f>IF(COUNTIF('Resultats Reals'!$H$2:$H$5,BK24)&gt;0,1,0)+IF(COUNTIF('Resultats Reals'!$H$2:$H$5,BL24)&gt;0,1,0)+IF(COUNTIF('Resultats Reals'!$H$2:$H$5,BM24)&gt;0,1,0)+IF(COUNTIF('Resultats Reals'!$H$2:$H$5,BN24)&gt;0,1,0)</f>
        <v>4</v>
      </c>
      <c r="CA24">
        <f>IF(COUNTIF('Resultats Reals'!$I$2:$I$3,BO24)&gt;0,3,0)+IF(COUNTIF('Resultats Reals'!$I$2:$I$3,BP24)&gt;0,3,0)</f>
        <v>0</v>
      </c>
      <c r="CB24">
        <f>IF(BQ24='Resultats Reals'!$J$2,5,0)</f>
        <v>0</v>
      </c>
      <c r="CC24">
        <f>IF(BS24='Resultats Reals'!$K$2,5,0)</f>
        <v>0</v>
      </c>
      <c r="CD24">
        <f>IFERROR(VLOOKUP(BT24,'Resultats Reals'!$N$2:$O$100,2,FALSE),0)</f>
        <v>6</v>
      </c>
      <c r="CE24">
        <f>IF(BR24='Resultats Reals'!$L$2,5,0)</f>
        <v>0</v>
      </c>
      <c r="CF24" s="7">
        <f t="shared" si="0"/>
        <v>78</v>
      </c>
    </row>
    <row r="25" spans="1:84" x14ac:dyDescent="0.25">
      <c r="A25" t="s">
        <v>146</v>
      </c>
      <c r="B25" t="s">
        <v>147</v>
      </c>
      <c r="C25" t="s">
        <v>86</v>
      </c>
      <c r="D25" t="s">
        <v>87</v>
      </c>
      <c r="E25" t="s">
        <v>100</v>
      </c>
      <c r="F25" t="s">
        <v>101</v>
      </c>
      <c r="G25" t="s">
        <v>102</v>
      </c>
      <c r="H25" t="s">
        <v>91</v>
      </c>
      <c r="I25" t="s">
        <v>92</v>
      </c>
      <c r="J25" t="s">
        <v>93</v>
      </c>
      <c r="K25" t="s">
        <v>94</v>
      </c>
      <c r="L25" t="s">
        <v>95</v>
      </c>
      <c r="M25" t="s">
        <v>96</v>
      </c>
      <c r="N25" t="s">
        <v>97</v>
      </c>
      <c r="O25" t="s">
        <v>98</v>
      </c>
      <c r="P25" t="s">
        <v>99</v>
      </c>
      <c r="Q25" t="s">
        <v>88</v>
      </c>
      <c r="R25" t="s">
        <v>89</v>
      </c>
      <c r="S25" t="s">
        <v>90</v>
      </c>
      <c r="T25" t="s">
        <v>114</v>
      </c>
      <c r="U25" t="s">
        <v>104</v>
      </c>
      <c r="V25" t="s">
        <v>105</v>
      </c>
      <c r="W25" t="s">
        <v>106</v>
      </c>
      <c r="X25" t="s">
        <v>107</v>
      </c>
      <c r="Y25" t="s">
        <v>108</v>
      </c>
      <c r="Z25" t="s">
        <v>109</v>
      </c>
      <c r="AA25" t="s">
        <v>110</v>
      </c>
      <c r="AB25" t="s">
        <v>245</v>
      </c>
      <c r="AC25" t="s">
        <v>111</v>
      </c>
      <c r="AD25" t="s">
        <v>126</v>
      </c>
      <c r="AE25" t="s">
        <v>113</v>
      </c>
      <c r="AF25" t="s">
        <v>103</v>
      </c>
      <c r="AG25" t="s">
        <v>115</v>
      </c>
      <c r="AH25" t="s">
        <v>116</v>
      </c>
      <c r="AI25" t="s">
        <v>117</v>
      </c>
      <c r="AJ25" t="s">
        <v>118</v>
      </c>
      <c r="AK25" t="s">
        <v>127</v>
      </c>
      <c r="AL25" t="s">
        <v>120</v>
      </c>
      <c r="AM25" t="s">
        <v>102</v>
      </c>
      <c r="AN25" t="s">
        <v>94</v>
      </c>
      <c r="AO25" t="s">
        <v>99</v>
      </c>
      <c r="AP25" t="s">
        <v>88</v>
      </c>
      <c r="AQ25" t="s">
        <v>108</v>
      </c>
      <c r="AR25" t="s">
        <v>93</v>
      </c>
      <c r="AS25" t="s">
        <v>101</v>
      </c>
      <c r="AT25" t="s">
        <v>92</v>
      </c>
      <c r="AU25" t="s">
        <v>100</v>
      </c>
      <c r="AV25" t="s">
        <v>90</v>
      </c>
      <c r="AW25" t="s">
        <v>86</v>
      </c>
      <c r="AX25" t="s">
        <v>97</v>
      </c>
      <c r="AY25" t="s">
        <v>95</v>
      </c>
      <c r="AZ25" t="s">
        <v>104</v>
      </c>
      <c r="BA25" t="s">
        <v>87</v>
      </c>
      <c r="BB25" t="s">
        <v>96</v>
      </c>
      <c r="BC25" t="s">
        <v>94</v>
      </c>
      <c r="BD25" t="s">
        <v>88</v>
      </c>
      <c r="BE25" t="s">
        <v>93</v>
      </c>
      <c r="BF25" t="s">
        <v>101</v>
      </c>
      <c r="BG25" t="s">
        <v>100</v>
      </c>
      <c r="BH25" t="s">
        <v>97</v>
      </c>
      <c r="BI25" t="s">
        <v>95</v>
      </c>
      <c r="BJ25" t="s">
        <v>96</v>
      </c>
      <c r="BK25" t="s">
        <v>94</v>
      </c>
      <c r="BL25" t="s">
        <v>93</v>
      </c>
      <c r="BM25" t="s">
        <v>100</v>
      </c>
      <c r="BN25" t="s">
        <v>96</v>
      </c>
      <c r="BO25" t="s">
        <v>93</v>
      </c>
      <c r="BP25" t="s">
        <v>96</v>
      </c>
      <c r="BQ25" t="s">
        <v>93</v>
      </c>
      <c r="BR25" s="6" t="s">
        <v>148</v>
      </c>
      <c r="BS25" t="s">
        <v>121</v>
      </c>
      <c r="BT25" t="s">
        <v>128</v>
      </c>
      <c r="BU25">
        <f>IF(C25='Resultats Reals'!$C$2,2,IF(OR(C25='Resultats Reals'!$C$3,COUNTIF('Resultats Reals'!$E$2:$E$33,C25)&gt;0),1,0))+IF(D25='Resultats Reals'!$C$5,2,IF(OR(D25='Resultats Reals'!$C$6,COUNTIF('Resultats Reals'!$E$2:$E$33,D25)&gt;0),1,0))+IF(E25='Resultats Reals'!$C$8,2,IF(OR(E25='Resultats Reals'!$C$9,COUNTIF('Resultats Reals'!$E$2:$E$33,E25)&gt;0),1,0))+IF(F25='Resultats Reals'!$C$11,2,IF(OR(F25='Resultats Reals'!$C$12,COUNTIF('Resultats Reals'!$E$2:$E$33,F25)&gt;0),1,0))+IF(G25='Resultats Reals'!$C$14,2,IF(OR(G25='Resultats Reals'!$C$15,COUNTIF('Resultats Reals'!$E$2:$E$33,G25)&gt;0),1,0))+IF(H25='Resultats Reals'!$C$17,2,IF(OR(H25='Resultats Reals'!$C$18,COUNTIF('Resultats Reals'!$E$2:$E$33,H25)&gt;0),1,0))+IF(I25='Resultats Reals'!$C$20,2,IF(OR(I25='Resultats Reals'!$C$21,COUNTIF('Resultats Reals'!$E$2:$E$33,I25)&gt;0),1,0))+IF(J25='Resultats Reals'!$C$23,2,IF(OR(J25='Resultats Reals'!$C$24,COUNTIF('Resultats Reals'!$E$2:$E$33,J25)&gt;0),1,0))+IF(K25='Resultats Reals'!$C$26,2,IF(OR(K25='Resultats Reals'!$C$27,COUNTIF('Resultats Reals'!$E$2:$E$33,K25)&gt;0),1,0))+IF(L25='Resultats Reals'!$C$29,2,IF(OR(L25='Resultats Reals'!$C$30,COUNTIF('Resultats Reals'!$E$2:$E$33,L25)&gt;0),1,0))+IF(M25='Resultats Reals'!$C$32,2,IF(OR(M25='Resultats Reals'!$C$33,COUNTIF('Resultats Reals'!$E$2:$E$33,M25)&gt;0),1,0))+IF(N25='Resultats Reals'!$C$35,2,IF(OR(N25='Resultats Reals'!$C$36,COUNTIF('Resultats Reals'!$E$2:$E$33,N25)&gt;0),1,0))</f>
        <v>19</v>
      </c>
      <c r="BV25">
        <f>IF(O25='Resultats Reals'!$C$3,2,IF(OR(O25='Resultats Reals'!$C$2,COUNTIF('Resultats Reals'!$E$2:$E$33,O25)&gt;0),1,0))+IF(P25='Resultats Reals'!$C$6,2,IF(OR(P25='Resultats Reals'!$C$5,COUNTIF('Resultats Reals'!$E$2:$E$33,P25)&gt;0),1,0))+IF(Q25='Resultats Reals'!$C$9,2,IF(OR(Q25='Resultats Reals'!$C$8,COUNTIF('Resultats Reals'!$E$2:$E$33,Q25)&gt;0),1,0))+IF(R25='Resultats Reals'!$C$12,2,IF(OR(R25='Resultats Reals'!$C$11,COUNTIF('Resultats Reals'!$E$2:$E$33,R25)&gt;0),1,0))+IF(S25='Resultats Reals'!$C$15,2,IF(OR(S25='Resultats Reals'!$C$14,COUNTIF('Resultats Reals'!$E$2:$E$33,S25)&gt;0),1,0))+IF(T25='Resultats Reals'!$C$18,2,IF(OR(T25='Resultats Reals'!$C$17,COUNTIF('Resultats Reals'!$E$2:$E$33,T25)&gt;0),1,0))+IF(U25='Resultats Reals'!$C$21,2,IF(OR(U25='Resultats Reals'!$C$20,COUNTIF('Resultats Reals'!$E$2:$E$33,U25)&gt;0),1,0))+IF(V25='Resultats Reals'!$C$24,2,IF(OR(V25='Resultats Reals'!$C$23,COUNTIF('Resultats Reals'!$E$2:$E$33,V25)&gt;0),1,0))+IF(W25='Resultats Reals'!$C$27,2,IF(OR(W25='Resultats Reals'!$C$26,COUNTIF('Resultats Reals'!$E$2:$E$33,W25)&gt;0),1,0))+IF(X25='Resultats Reals'!$C$30,2,IF(OR(X25='Resultats Reals'!$C$29,COUNTIF('Resultats Reals'!$E$2:$E$33,X25)&gt;0),1,0))+IF(Y25='Resultats Reals'!$C$33,2,IF(OR(Y25='Resultats Reals'!$C$32,COUNTIF('Resultats Reals'!$E$2:$E$33,Y25)&gt;0),1,0))+IF(Z25='Resultats Reals'!$C$36,2,IF(OR(Z25='Resultats Reals'!$C$35,COUNTIF('Resultats Reals'!$E$2:$E$33,Z25)&gt;0),1,0))</f>
        <v>15</v>
      </c>
      <c r="BW25">
        <f>IF(AA25='Resultats Reals'!$C$4,IF(COUNTIF('Resultats Reals'!$E$2:$E$33,AA25)&gt;0,2,0.5),IF(OR(AA25='Resultats Reals'!$C$2,AA25='Resultats Reals'!$C$3,COUNTIF('Resultats Reals'!$E$2:$E$33,AA25)&gt;0),1,0))+IF(AB25='Resultats Reals'!$C$7,IF(COUNTIF('Resultats Reals'!$E$2:$E$33,AB25)&gt;0,2,0.5),IF(OR(AB25='Resultats Reals'!$C$5,AB25='Resultats Reals'!$C$6,COUNTIF('Resultats Reals'!$E$2:$E$33,AB25)&gt;0),1,0))+IF(AC25='Resultats Reals'!$C$10,IF(COUNTIF('Resultats Reals'!$E$2:$E$33,AC25)&gt;0,2,0.5),IF(OR(AC25='Resultats Reals'!$C$8,AC25='Resultats Reals'!$C$9,COUNTIF('Resultats Reals'!$E$2:$E$33,AC25)&gt;0),1,0))+IF(AD25='Resultats Reals'!$C$13,IF(COUNTIF('Resultats Reals'!$E$2:$E$33,AD25)&gt;0,2,0.5),IF(OR(AD25='Resultats Reals'!$C$11,AD25='Resultats Reals'!$C$12,COUNTIF('Resultats Reals'!$E$2:$E$33,AD25)&gt;0),1,0))+IF(AE25='Resultats Reals'!$C$16,IF(COUNTIF('Resultats Reals'!$E$2:$E$33,AE25)&gt;0,2,0.5),IF(OR(AE25='Resultats Reals'!$C$14,AE25='Resultats Reals'!$C$15,COUNTIF('Resultats Reals'!$E$2:$E$33,AE25)&gt;0),1,0))+IF(AF25='Resultats Reals'!$C$19,IF(COUNTIF('Resultats Reals'!$E$2:$E$33,AF25)&gt;0,2,0.5),IF(OR(AF25='Resultats Reals'!$C$17,AF25='Resultats Reals'!$C$18,COUNTIF('Resultats Reals'!$E$2:$E$33,AF25)&gt;0),1,0))+IF(AG25='Resultats Reals'!$C$22,IF(COUNTIF('Resultats Reals'!$E$2:$E$33,AG25)&gt;0,2,0.5),IF(OR(AG25='Resultats Reals'!$C$20,AG25='Resultats Reals'!$C$21,COUNTIF('Resultats Reals'!$E$2:$E$33,AG25)&gt;0),1,0))+IF(AH25='Resultats Reals'!$C$25,IF(COUNTIF('Resultats Reals'!$E$2:$E$33,AH25)&gt;0,2,0.5),IF(OR(AH25='Resultats Reals'!$C$23,AH25='Resultats Reals'!$C$24,COUNTIF('Resultats Reals'!$E$2:$E$33,AH25)&gt;0),1,0))+IF(AI25='Resultats Reals'!$C$28,IF(COUNTIF('Resultats Reals'!$E$2:$E$33,AI25)&gt;0,2,0.5),IF(OR(AI25='Resultats Reals'!$C$26,AI25='Resultats Reals'!$C$27,COUNTIF('Resultats Reals'!$E$2:$E$33,AI25)&gt;0),1,0))+IF(AJ25='Resultats Reals'!$C$31,IF(COUNTIF('Resultats Reals'!$E$2:$E$33,AJ25)&gt;0,2,0.5),IF(OR(AJ25='Resultats Reals'!$C$29,AJ25='Resultats Reals'!$C$30,COUNTIF('Resultats Reals'!$E$2:$E$33,AJ25)&gt;0),1,0))+IF(AK25='Resultats Reals'!$C$34,IF(COUNTIF('Resultats Reals'!$E$2:$E$33,AK25)&gt;0,2,0.5),IF(OR(AK25='Resultats Reals'!$C$32,AK25='Resultats Reals'!$C$33,COUNTIF('Resultats Reals'!$E$2:$E$33,AK25)&gt;0),1,0))+IF(AL25='Resultats Reals'!$C$37,IF(COUNTIF('Resultats Reals'!$E$2:$E$33,AL25)&gt;0,2,0.5),IF(OR(AL25='Resultats Reals'!$C$35,AL25='Resultats Reals'!$C$36,COUNTIF('Resultats Reals'!$E$2:$E$33,AL25)&gt;0),1,0))</f>
        <v>14</v>
      </c>
      <c r="BX25">
        <f>IF(COUNTIF('Resultats Reals'!$F$2:$F$17,AM25)&gt;0,1,0)+IF(COUNTIF('Resultats Reals'!$F$2:$F$17,AN25)&gt;0,1,0)+IF(COUNTIF('Resultats Reals'!$F$2:$F$17,AO25)&gt;0,1,0)+IF(COUNTIF('Resultats Reals'!$F$2:$F$17,AP25)&gt;0,1,0)+IF(COUNTIF('Resultats Reals'!$F$2:$F$17,AQ25)&gt;0,1,0)+IF(COUNTIF('Resultats Reals'!$F$2:$F$17,AR25)&gt;0,1,0)+IF(COUNTIF('Resultats Reals'!$F$2:$F$17,AS25)&gt;0,1,0)+IF(COUNTIF('Resultats Reals'!$F$2:$F$17,AT25)&gt;0,1,0)+IF(COUNTIF('Resultats Reals'!$F$2:$F$17,AU25)&gt;0,1,0)+IF(COUNTIF('Resultats Reals'!$F$2:$F$17,AV25)&gt;0,1,0)+IF(COUNTIF('Resultats Reals'!$F$2:$F$17,AW25)&gt;0,1,0)+IF(COUNTIF('Resultats Reals'!$F$2:$F$17,AX25)&gt;0,1,0)+IF(COUNTIF('Resultats Reals'!$F$2:$F$17,AY25)&gt;0,1,0)+IF(COUNTIF('Resultats Reals'!$F$2:$F$17,AZ25)&gt;0,1,0)+IF(COUNTIF('Resultats Reals'!$F$2:$F$17,BA25)&gt;0,1,0)+IF(COUNTIF('Resultats Reals'!$F$2:$F$17,BB25)&gt;0,1,0)</f>
        <v>13</v>
      </c>
      <c r="BY25">
        <f>IF(COUNTIF('Resultats Reals'!$G$2:$G$9,BC25)&gt;0,1,0)+IF(COUNTIF('Resultats Reals'!$G$2:$G$9,BD25)&gt;0,1,0)+IF(COUNTIF('Resultats Reals'!$G$2:$G$9,BE25)&gt;0,1,0)+IF(COUNTIF('Resultats Reals'!$G$2:$G$9,BF25)&gt;0,1,0)+IF(COUNTIF('Resultats Reals'!$G$2:$G$9,BG25)&gt;0,1,0)+IF(COUNTIF('Resultats Reals'!$G$2:$G$9,BH25)&gt;0,1,0)+IF(COUNTIF('Resultats Reals'!$G$2:$G$9,BI25)&gt;0,1,0)+IF(COUNTIF('Resultats Reals'!$G$2:$G$9,BJ25)&gt;0,1,0)</f>
        <v>5</v>
      </c>
      <c r="BZ25">
        <f>IF(COUNTIF('Resultats Reals'!$H$2:$H$5,BK25)&gt;0,1,0)+IF(COUNTIF('Resultats Reals'!$H$2:$H$5,BL25)&gt;0,1,0)+IF(COUNTIF('Resultats Reals'!$H$2:$H$5,BM25)&gt;0,1,0)+IF(COUNTIF('Resultats Reals'!$H$2:$H$5,BN25)&gt;0,1,0)</f>
        <v>2</v>
      </c>
      <c r="CA25">
        <f>IF(COUNTIF('Resultats Reals'!$I$2:$I$3,BO25)&gt;0,3,0)+IF(COUNTIF('Resultats Reals'!$I$2:$I$3,BP25)&gt;0,3,0)</f>
        <v>0</v>
      </c>
      <c r="CB25">
        <f>IF(BQ25='Resultats Reals'!$J$2,5,0)</f>
        <v>0</v>
      </c>
      <c r="CC25">
        <f>IF(BS25='Resultats Reals'!$K$2,5,0)</f>
        <v>0</v>
      </c>
      <c r="CD25">
        <f>IFERROR(VLOOKUP(BT25,'Resultats Reals'!$N$2:$O$100,2,FALSE),0)</f>
        <v>8</v>
      </c>
      <c r="CE25">
        <f>IF(BR25='Resultats Reals'!$L$2,5,0)</f>
        <v>0</v>
      </c>
      <c r="CF25" s="7">
        <f t="shared" si="0"/>
        <v>76</v>
      </c>
    </row>
    <row r="26" spans="1:84" x14ac:dyDescent="0.25">
      <c r="A26" t="s">
        <v>180</v>
      </c>
      <c r="B26" t="s">
        <v>124</v>
      </c>
      <c r="C26" t="s">
        <v>86</v>
      </c>
      <c r="D26" t="s">
        <v>99</v>
      </c>
      <c r="E26" t="s">
        <v>88</v>
      </c>
      <c r="F26" t="s">
        <v>89</v>
      </c>
      <c r="G26" t="s">
        <v>90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96</v>
      </c>
      <c r="N26" t="s">
        <v>97</v>
      </c>
      <c r="O26" t="s">
        <v>130</v>
      </c>
      <c r="P26" t="s">
        <v>125</v>
      </c>
      <c r="Q26" t="s">
        <v>100</v>
      </c>
      <c r="R26" t="s">
        <v>112</v>
      </c>
      <c r="S26" t="s">
        <v>102</v>
      </c>
      <c r="T26" t="s">
        <v>114</v>
      </c>
      <c r="U26" t="s">
        <v>115</v>
      </c>
      <c r="V26" t="s">
        <v>105</v>
      </c>
      <c r="W26" t="s">
        <v>106</v>
      </c>
      <c r="X26" t="s">
        <v>118</v>
      </c>
      <c r="Y26" t="s">
        <v>108</v>
      </c>
      <c r="Z26" t="s">
        <v>109</v>
      </c>
      <c r="AA26" t="s">
        <v>98</v>
      </c>
      <c r="AB26" t="s">
        <v>245</v>
      </c>
      <c r="AC26" t="s">
        <v>111</v>
      </c>
      <c r="AD26" t="s">
        <v>101</v>
      </c>
      <c r="AE26" t="s">
        <v>113</v>
      </c>
      <c r="AF26" t="s">
        <v>103</v>
      </c>
      <c r="AG26" t="s">
        <v>104</v>
      </c>
      <c r="AH26" t="s">
        <v>116</v>
      </c>
      <c r="AI26" t="s">
        <v>117</v>
      </c>
      <c r="AJ26" t="s">
        <v>107</v>
      </c>
      <c r="AK26" t="s">
        <v>127</v>
      </c>
      <c r="AL26" t="s">
        <v>120</v>
      </c>
      <c r="AM26" t="s">
        <v>86</v>
      </c>
      <c r="AN26" t="s">
        <v>99</v>
      </c>
      <c r="AO26" t="s">
        <v>88</v>
      </c>
      <c r="AP26" t="s">
        <v>89</v>
      </c>
      <c r="AQ26" t="s">
        <v>90</v>
      </c>
      <c r="AR26" t="s">
        <v>91</v>
      </c>
      <c r="AS26" t="s">
        <v>92</v>
      </c>
      <c r="AT26" t="s">
        <v>93</v>
      </c>
      <c r="AU26" t="s">
        <v>94</v>
      </c>
      <c r="AV26" t="s">
        <v>95</v>
      </c>
      <c r="AW26" t="s">
        <v>96</v>
      </c>
      <c r="AX26" t="s">
        <v>97</v>
      </c>
      <c r="AY26" t="s">
        <v>108</v>
      </c>
      <c r="AZ26" t="s">
        <v>100</v>
      </c>
      <c r="BA26" t="s">
        <v>117</v>
      </c>
      <c r="BB26" t="s">
        <v>103</v>
      </c>
      <c r="BC26" t="s">
        <v>93</v>
      </c>
      <c r="BD26" t="s">
        <v>94</v>
      </c>
      <c r="BE26" t="s">
        <v>95</v>
      </c>
      <c r="BF26" t="s">
        <v>96</v>
      </c>
      <c r="BG26" t="s">
        <v>88</v>
      </c>
      <c r="BH26" t="s">
        <v>90</v>
      </c>
      <c r="BI26" t="s">
        <v>97</v>
      </c>
      <c r="BJ26" t="s">
        <v>91</v>
      </c>
      <c r="BK26" t="s">
        <v>93</v>
      </c>
      <c r="BL26" t="s">
        <v>94</v>
      </c>
      <c r="BM26" t="s">
        <v>95</v>
      </c>
      <c r="BN26" t="s">
        <v>96</v>
      </c>
      <c r="BO26" t="s">
        <v>93</v>
      </c>
      <c r="BP26" t="s">
        <v>95</v>
      </c>
      <c r="BQ26" t="s">
        <v>95</v>
      </c>
      <c r="BR26" s="6" t="s">
        <v>176</v>
      </c>
      <c r="BS26" t="s">
        <v>121</v>
      </c>
      <c r="BT26" t="s">
        <v>128</v>
      </c>
      <c r="BU26">
        <f>IF(C26='Resultats Reals'!$C$2,2,IF(OR(C26='Resultats Reals'!$C$3,COUNTIF('Resultats Reals'!$E$2:$E$33,C26)&gt;0),1,0))+IF(D26='Resultats Reals'!$C$5,2,IF(OR(D26='Resultats Reals'!$C$6,COUNTIF('Resultats Reals'!$E$2:$E$33,D26)&gt;0),1,0))+IF(E26='Resultats Reals'!$C$8,2,IF(OR(E26='Resultats Reals'!$C$9,COUNTIF('Resultats Reals'!$E$2:$E$33,E26)&gt;0),1,0))+IF(F26='Resultats Reals'!$C$11,2,IF(OR(F26='Resultats Reals'!$C$12,COUNTIF('Resultats Reals'!$E$2:$E$33,F26)&gt;0),1,0))+IF(G26='Resultats Reals'!$C$14,2,IF(OR(G26='Resultats Reals'!$C$15,COUNTIF('Resultats Reals'!$E$2:$E$33,G26)&gt;0),1,0))+IF(H26='Resultats Reals'!$C$17,2,IF(OR(H26='Resultats Reals'!$C$18,COUNTIF('Resultats Reals'!$E$2:$E$33,H26)&gt;0),1,0))+IF(I26='Resultats Reals'!$C$20,2,IF(OR(I26='Resultats Reals'!$C$21,COUNTIF('Resultats Reals'!$E$2:$E$33,I26)&gt;0),1,0))+IF(J26='Resultats Reals'!$C$23,2,IF(OR(J26='Resultats Reals'!$C$24,COUNTIF('Resultats Reals'!$E$2:$E$33,J26)&gt;0),1,0))+IF(K26='Resultats Reals'!$C$26,2,IF(OR(K26='Resultats Reals'!$C$27,COUNTIF('Resultats Reals'!$E$2:$E$33,K26)&gt;0),1,0))+IF(L26='Resultats Reals'!$C$29,2,IF(OR(L26='Resultats Reals'!$C$30,COUNTIF('Resultats Reals'!$E$2:$E$33,L26)&gt;0),1,0))+IF(M26='Resultats Reals'!$C$32,2,IF(OR(M26='Resultats Reals'!$C$33,COUNTIF('Resultats Reals'!$E$2:$E$33,M26)&gt;0),1,0))+IF(N26='Resultats Reals'!$C$35,2,IF(OR(N26='Resultats Reals'!$C$36,COUNTIF('Resultats Reals'!$E$2:$E$33,N26)&gt;0),1,0))</f>
        <v>22</v>
      </c>
      <c r="BV26">
        <f>IF(O26='Resultats Reals'!$C$3,2,IF(OR(O26='Resultats Reals'!$C$2,COUNTIF('Resultats Reals'!$E$2:$E$33,O26)&gt;0),1,0))+IF(P26='Resultats Reals'!$C$6,2,IF(OR(P26='Resultats Reals'!$C$5,COUNTIF('Resultats Reals'!$E$2:$E$33,P26)&gt;0),1,0))+IF(Q26='Resultats Reals'!$C$9,2,IF(OR(Q26='Resultats Reals'!$C$8,COUNTIF('Resultats Reals'!$E$2:$E$33,Q26)&gt;0),1,0))+IF(R26='Resultats Reals'!$C$12,2,IF(OR(R26='Resultats Reals'!$C$11,COUNTIF('Resultats Reals'!$E$2:$E$33,R26)&gt;0),1,0))+IF(S26='Resultats Reals'!$C$15,2,IF(OR(S26='Resultats Reals'!$C$14,COUNTIF('Resultats Reals'!$E$2:$E$33,S26)&gt;0),1,0))+IF(T26='Resultats Reals'!$C$18,2,IF(OR(T26='Resultats Reals'!$C$17,COUNTIF('Resultats Reals'!$E$2:$E$33,T26)&gt;0),1,0))+IF(U26='Resultats Reals'!$C$21,2,IF(OR(U26='Resultats Reals'!$C$20,COUNTIF('Resultats Reals'!$E$2:$E$33,U26)&gt;0),1,0))+IF(V26='Resultats Reals'!$C$24,2,IF(OR(V26='Resultats Reals'!$C$23,COUNTIF('Resultats Reals'!$E$2:$E$33,V26)&gt;0),1,0))+IF(W26='Resultats Reals'!$C$27,2,IF(OR(W26='Resultats Reals'!$C$26,COUNTIF('Resultats Reals'!$E$2:$E$33,W26)&gt;0),1,0))+IF(X26='Resultats Reals'!$C$30,2,IF(OR(X26='Resultats Reals'!$C$29,COUNTIF('Resultats Reals'!$E$2:$E$33,X26)&gt;0),1,0))+IF(Y26='Resultats Reals'!$C$33,2,IF(OR(Y26='Resultats Reals'!$C$32,COUNTIF('Resultats Reals'!$E$2:$E$33,Y26)&gt;0),1,0))+IF(Z26='Resultats Reals'!$C$36,2,IF(OR(Z26='Resultats Reals'!$C$35,COUNTIF('Resultats Reals'!$E$2:$E$33,Z26)&gt;0),1,0))</f>
        <v>13</v>
      </c>
      <c r="BW26">
        <f>IF(AA26='Resultats Reals'!$C$4,IF(COUNTIF('Resultats Reals'!$E$2:$E$33,AA26)&gt;0,2,0.5),IF(OR(AA26='Resultats Reals'!$C$2,AA26='Resultats Reals'!$C$3,COUNTIF('Resultats Reals'!$E$2:$E$33,AA26)&gt;0),1,0))+IF(AB26='Resultats Reals'!$C$7,IF(COUNTIF('Resultats Reals'!$E$2:$E$33,AB26)&gt;0,2,0.5),IF(OR(AB26='Resultats Reals'!$C$5,AB26='Resultats Reals'!$C$6,COUNTIF('Resultats Reals'!$E$2:$E$33,AB26)&gt;0),1,0))+IF(AC26='Resultats Reals'!$C$10,IF(COUNTIF('Resultats Reals'!$E$2:$E$33,AC26)&gt;0,2,0.5),IF(OR(AC26='Resultats Reals'!$C$8,AC26='Resultats Reals'!$C$9,COUNTIF('Resultats Reals'!$E$2:$E$33,AC26)&gt;0),1,0))+IF(AD26='Resultats Reals'!$C$13,IF(COUNTIF('Resultats Reals'!$E$2:$E$33,AD26)&gt;0,2,0.5),IF(OR(AD26='Resultats Reals'!$C$11,AD26='Resultats Reals'!$C$12,COUNTIF('Resultats Reals'!$E$2:$E$33,AD26)&gt;0),1,0))+IF(AE26='Resultats Reals'!$C$16,IF(COUNTIF('Resultats Reals'!$E$2:$E$33,AE26)&gt;0,2,0.5),IF(OR(AE26='Resultats Reals'!$C$14,AE26='Resultats Reals'!$C$15,COUNTIF('Resultats Reals'!$E$2:$E$33,AE26)&gt;0),1,0))+IF(AF26='Resultats Reals'!$C$19,IF(COUNTIF('Resultats Reals'!$E$2:$E$33,AF26)&gt;0,2,0.5),IF(OR(AF26='Resultats Reals'!$C$17,AF26='Resultats Reals'!$C$18,COUNTIF('Resultats Reals'!$E$2:$E$33,AF26)&gt;0),1,0))+IF(AG26='Resultats Reals'!$C$22,IF(COUNTIF('Resultats Reals'!$E$2:$E$33,AG26)&gt;0,2,0.5),IF(OR(AG26='Resultats Reals'!$C$20,AG26='Resultats Reals'!$C$21,COUNTIF('Resultats Reals'!$E$2:$E$33,AG26)&gt;0),1,0))+IF(AH26='Resultats Reals'!$C$25,IF(COUNTIF('Resultats Reals'!$E$2:$E$33,AH26)&gt;0,2,0.5),IF(OR(AH26='Resultats Reals'!$C$23,AH26='Resultats Reals'!$C$24,COUNTIF('Resultats Reals'!$E$2:$E$33,AH26)&gt;0),1,0))+IF(AI26='Resultats Reals'!$C$28,IF(COUNTIF('Resultats Reals'!$E$2:$E$33,AI26)&gt;0,2,0.5),IF(OR(AI26='Resultats Reals'!$C$26,AI26='Resultats Reals'!$C$27,COUNTIF('Resultats Reals'!$E$2:$E$33,AI26)&gt;0),1,0))+IF(AJ26='Resultats Reals'!$C$31,IF(COUNTIF('Resultats Reals'!$E$2:$E$33,AJ26)&gt;0,2,0.5),IF(OR(AJ26='Resultats Reals'!$C$29,AJ26='Resultats Reals'!$C$30,COUNTIF('Resultats Reals'!$E$2:$E$33,AJ26)&gt;0),1,0))+IF(AK26='Resultats Reals'!$C$34,IF(COUNTIF('Resultats Reals'!$E$2:$E$33,AK26)&gt;0,2,0.5),IF(OR(AK26='Resultats Reals'!$C$32,AK26='Resultats Reals'!$C$33,COUNTIF('Resultats Reals'!$E$2:$E$33,AK26)&gt;0),1,0))+IF(AL26='Resultats Reals'!$C$37,IF(COUNTIF('Resultats Reals'!$E$2:$E$33,AL26)&gt;0,2,0.5),IF(OR(AL26='Resultats Reals'!$C$35,AL26='Resultats Reals'!$C$36,COUNTIF('Resultats Reals'!$E$2:$E$33,AL26)&gt;0),1,0))</f>
        <v>13</v>
      </c>
      <c r="BX26">
        <f>IF(COUNTIF('Resultats Reals'!$F$2:$F$17,AM26)&gt;0,1,0)+IF(COUNTIF('Resultats Reals'!$F$2:$F$17,AN26)&gt;0,1,0)+IF(COUNTIF('Resultats Reals'!$F$2:$F$17,AO26)&gt;0,1,0)+IF(COUNTIF('Resultats Reals'!$F$2:$F$17,AP26)&gt;0,1,0)+IF(COUNTIF('Resultats Reals'!$F$2:$F$17,AQ26)&gt;0,1,0)+IF(COUNTIF('Resultats Reals'!$F$2:$F$17,AR26)&gt;0,1,0)+IF(COUNTIF('Resultats Reals'!$F$2:$F$17,AS26)&gt;0,1,0)+IF(COUNTIF('Resultats Reals'!$F$2:$F$17,AT26)&gt;0,1,0)+IF(COUNTIF('Resultats Reals'!$F$2:$F$17,AU26)&gt;0,1,0)+IF(COUNTIF('Resultats Reals'!$F$2:$F$17,AV26)&gt;0,1,0)+IF(COUNTIF('Resultats Reals'!$F$2:$F$17,AW26)&gt;0,1,0)+IF(COUNTIF('Resultats Reals'!$F$2:$F$17,AX26)&gt;0,1,0)+IF(COUNTIF('Resultats Reals'!$F$2:$F$17,AY26)&gt;0,1,0)+IF(COUNTIF('Resultats Reals'!$F$2:$F$17,AZ26)&gt;0,1,0)+IF(COUNTIF('Resultats Reals'!$F$2:$F$17,BA26)&gt;0,1,0)+IF(COUNTIF('Resultats Reals'!$F$2:$F$17,BB26)&gt;0,1,0)</f>
        <v>13</v>
      </c>
      <c r="BY26">
        <f>IF(COUNTIF('Resultats Reals'!$G$2:$G$9,BC26)&gt;0,1,0)+IF(COUNTIF('Resultats Reals'!$G$2:$G$9,BD26)&gt;0,1,0)+IF(COUNTIF('Resultats Reals'!$G$2:$G$9,BE26)&gt;0,1,0)+IF(COUNTIF('Resultats Reals'!$G$2:$G$9,BF26)&gt;0,1,0)+IF(COUNTIF('Resultats Reals'!$G$2:$G$9,BG26)&gt;0,1,0)+IF(COUNTIF('Resultats Reals'!$G$2:$G$9,BH26)&gt;0,1,0)+IF(COUNTIF('Resultats Reals'!$G$2:$G$9,BI26)&gt;0,1,0)+IF(COUNTIF('Resultats Reals'!$G$2:$G$9,BJ26)&gt;0,1,0)</f>
        <v>4</v>
      </c>
      <c r="BZ26">
        <f>IF(COUNTIF('Resultats Reals'!$H$2:$H$5,BK26)&gt;0,1,0)+IF(COUNTIF('Resultats Reals'!$H$2:$H$5,BL26)&gt;0,1,0)+IF(COUNTIF('Resultats Reals'!$H$2:$H$5,BM26)&gt;0,1,0)+IF(COUNTIF('Resultats Reals'!$H$2:$H$5,BN26)&gt;0,1,0)</f>
        <v>3</v>
      </c>
      <c r="CA26">
        <f>IF(COUNTIF('Resultats Reals'!$I$2:$I$3,BO26)&gt;0,3,0)+IF(COUNTIF('Resultats Reals'!$I$2:$I$3,BP26)&gt;0,3,0)</f>
        <v>0</v>
      </c>
      <c r="CB26">
        <f>IF(BQ26='Resultats Reals'!$J$2,5,0)</f>
        <v>0</v>
      </c>
      <c r="CC26">
        <f>IF(BS26='Resultats Reals'!$K$2,5,0)</f>
        <v>0</v>
      </c>
      <c r="CD26">
        <f>IFERROR(VLOOKUP(BT26,'Resultats Reals'!$N$2:$O$100,2,FALSE),0)</f>
        <v>8</v>
      </c>
      <c r="CE26">
        <f>IF(BR26='Resultats Reals'!$L$2,5,0)</f>
        <v>0</v>
      </c>
      <c r="CF26" s="7">
        <f t="shared" si="0"/>
        <v>76</v>
      </c>
    </row>
    <row r="27" spans="1:84" x14ac:dyDescent="0.25">
      <c r="A27" t="s">
        <v>155</v>
      </c>
      <c r="B27" t="s">
        <v>135</v>
      </c>
      <c r="C27" t="s">
        <v>86</v>
      </c>
      <c r="D27" t="s">
        <v>87</v>
      </c>
      <c r="E27" t="s">
        <v>88</v>
      </c>
      <c r="F27" t="s">
        <v>89</v>
      </c>
      <c r="G27" t="s">
        <v>90</v>
      </c>
      <c r="H27" t="s">
        <v>91</v>
      </c>
      <c r="I27" t="s">
        <v>92</v>
      </c>
      <c r="J27" t="s">
        <v>93</v>
      </c>
      <c r="K27" t="s">
        <v>94</v>
      </c>
      <c r="L27" t="s">
        <v>95</v>
      </c>
      <c r="M27" t="s">
        <v>96</v>
      </c>
      <c r="N27" t="s">
        <v>97</v>
      </c>
      <c r="O27" t="s">
        <v>98</v>
      </c>
      <c r="P27" t="s">
        <v>125</v>
      </c>
      <c r="Q27" t="s">
        <v>100</v>
      </c>
      <c r="R27" t="s">
        <v>101</v>
      </c>
      <c r="S27" t="s">
        <v>102</v>
      </c>
      <c r="T27" t="s">
        <v>114</v>
      </c>
      <c r="U27" t="s">
        <v>104</v>
      </c>
      <c r="V27" t="s">
        <v>105</v>
      </c>
      <c r="W27" t="s">
        <v>106</v>
      </c>
      <c r="X27" t="s">
        <v>107</v>
      </c>
      <c r="Y27" t="s">
        <v>108</v>
      </c>
      <c r="Z27" t="s">
        <v>109</v>
      </c>
      <c r="AA27" t="s">
        <v>110</v>
      </c>
      <c r="AB27" t="s">
        <v>99</v>
      </c>
      <c r="AC27" t="s">
        <v>111</v>
      </c>
      <c r="AD27" t="s">
        <v>126</v>
      </c>
      <c r="AE27" t="s">
        <v>113</v>
      </c>
      <c r="AF27" t="s">
        <v>103</v>
      </c>
      <c r="AG27" t="s">
        <v>115</v>
      </c>
      <c r="AH27" t="s">
        <v>116</v>
      </c>
      <c r="AI27" t="s">
        <v>117</v>
      </c>
      <c r="AJ27" t="s">
        <v>118</v>
      </c>
      <c r="AK27" t="s">
        <v>119</v>
      </c>
      <c r="AL27" t="s">
        <v>120</v>
      </c>
      <c r="AM27" t="s">
        <v>86</v>
      </c>
      <c r="AN27" t="s">
        <v>100</v>
      </c>
      <c r="AO27" t="s">
        <v>88</v>
      </c>
      <c r="AP27" t="s">
        <v>89</v>
      </c>
      <c r="AQ27" t="s">
        <v>90</v>
      </c>
      <c r="AR27" t="s">
        <v>91</v>
      </c>
      <c r="AS27" t="s">
        <v>92</v>
      </c>
      <c r="AT27" t="s">
        <v>93</v>
      </c>
      <c r="AU27" t="s">
        <v>94</v>
      </c>
      <c r="AV27" t="s">
        <v>95</v>
      </c>
      <c r="AW27" t="s">
        <v>96</v>
      </c>
      <c r="AX27" t="s">
        <v>97</v>
      </c>
      <c r="AY27" t="s">
        <v>114</v>
      </c>
      <c r="AZ27" t="s">
        <v>105</v>
      </c>
      <c r="BA27" t="s">
        <v>108</v>
      </c>
      <c r="BB27" t="s">
        <v>109</v>
      </c>
      <c r="BC27" t="s">
        <v>88</v>
      </c>
      <c r="BD27" t="s">
        <v>90</v>
      </c>
      <c r="BE27" t="s">
        <v>91</v>
      </c>
      <c r="BF27" t="s">
        <v>93</v>
      </c>
      <c r="BG27" t="s">
        <v>94</v>
      </c>
      <c r="BH27" t="s">
        <v>95</v>
      </c>
      <c r="BI27" t="s">
        <v>96</v>
      </c>
      <c r="BJ27" t="s">
        <v>97</v>
      </c>
      <c r="BK27" t="s">
        <v>88</v>
      </c>
      <c r="BL27" t="s">
        <v>93</v>
      </c>
      <c r="BM27" t="s">
        <v>95</v>
      </c>
      <c r="BN27" t="s">
        <v>97</v>
      </c>
      <c r="BO27" t="s">
        <v>93</v>
      </c>
      <c r="BP27" t="s">
        <v>95</v>
      </c>
      <c r="BQ27" t="s">
        <v>93</v>
      </c>
      <c r="BS27" t="s">
        <v>121</v>
      </c>
      <c r="BT27" t="s">
        <v>121</v>
      </c>
      <c r="BU27">
        <f>IF(C27='Resultats Reals'!$C$2,2,IF(OR(C27='Resultats Reals'!$C$3,COUNTIF('Resultats Reals'!$E$2:$E$33,C27)&gt;0),1,0))+IF(D27='Resultats Reals'!$C$5,2,IF(OR(D27='Resultats Reals'!$C$6,COUNTIF('Resultats Reals'!$E$2:$E$33,D27)&gt;0),1,0))+IF(E27='Resultats Reals'!$C$8,2,IF(OR(E27='Resultats Reals'!$C$9,COUNTIF('Resultats Reals'!$E$2:$E$33,E27)&gt;0),1,0))+IF(F27='Resultats Reals'!$C$11,2,IF(OR(F27='Resultats Reals'!$C$12,COUNTIF('Resultats Reals'!$E$2:$E$33,F27)&gt;0),1,0))+IF(G27='Resultats Reals'!$C$14,2,IF(OR(G27='Resultats Reals'!$C$15,COUNTIF('Resultats Reals'!$E$2:$E$33,G27)&gt;0),1,0))+IF(H27='Resultats Reals'!$C$17,2,IF(OR(H27='Resultats Reals'!$C$18,COUNTIF('Resultats Reals'!$E$2:$E$33,H27)&gt;0),1,0))+IF(I27='Resultats Reals'!$C$20,2,IF(OR(I27='Resultats Reals'!$C$21,COUNTIF('Resultats Reals'!$E$2:$E$33,I27)&gt;0),1,0))+IF(J27='Resultats Reals'!$C$23,2,IF(OR(J27='Resultats Reals'!$C$24,COUNTIF('Resultats Reals'!$E$2:$E$33,J27)&gt;0),1,0))+IF(K27='Resultats Reals'!$C$26,2,IF(OR(K27='Resultats Reals'!$C$27,COUNTIF('Resultats Reals'!$E$2:$E$33,K27)&gt;0),1,0))+IF(L27='Resultats Reals'!$C$29,2,IF(OR(L27='Resultats Reals'!$C$30,COUNTIF('Resultats Reals'!$E$2:$E$33,L27)&gt;0),1,0))+IF(M27='Resultats Reals'!$C$32,2,IF(OR(M27='Resultats Reals'!$C$33,COUNTIF('Resultats Reals'!$E$2:$E$33,M27)&gt;0),1,0))+IF(N27='Resultats Reals'!$C$35,2,IF(OR(N27='Resultats Reals'!$C$36,COUNTIF('Resultats Reals'!$E$2:$E$33,N27)&gt;0),1,0))</f>
        <v>23</v>
      </c>
      <c r="BV27">
        <f>IF(O27='Resultats Reals'!$C$3,2,IF(OR(O27='Resultats Reals'!$C$2,COUNTIF('Resultats Reals'!$E$2:$E$33,O27)&gt;0),1,0))+IF(P27='Resultats Reals'!$C$6,2,IF(OR(P27='Resultats Reals'!$C$5,COUNTIF('Resultats Reals'!$E$2:$E$33,P27)&gt;0),1,0))+IF(Q27='Resultats Reals'!$C$9,2,IF(OR(Q27='Resultats Reals'!$C$8,COUNTIF('Resultats Reals'!$E$2:$E$33,Q27)&gt;0),1,0))+IF(R27='Resultats Reals'!$C$12,2,IF(OR(R27='Resultats Reals'!$C$11,COUNTIF('Resultats Reals'!$E$2:$E$33,R27)&gt;0),1,0))+IF(S27='Resultats Reals'!$C$15,2,IF(OR(S27='Resultats Reals'!$C$14,COUNTIF('Resultats Reals'!$E$2:$E$33,S27)&gt;0),1,0))+IF(T27='Resultats Reals'!$C$18,2,IF(OR(T27='Resultats Reals'!$C$17,COUNTIF('Resultats Reals'!$E$2:$E$33,T27)&gt;0),1,0))+IF(U27='Resultats Reals'!$C$21,2,IF(OR(U27='Resultats Reals'!$C$20,COUNTIF('Resultats Reals'!$E$2:$E$33,U27)&gt;0),1,0))+IF(V27='Resultats Reals'!$C$24,2,IF(OR(V27='Resultats Reals'!$C$23,COUNTIF('Resultats Reals'!$E$2:$E$33,V27)&gt;0),1,0))+IF(W27='Resultats Reals'!$C$27,2,IF(OR(W27='Resultats Reals'!$C$26,COUNTIF('Resultats Reals'!$E$2:$E$33,W27)&gt;0),1,0))+IF(X27='Resultats Reals'!$C$30,2,IF(OR(X27='Resultats Reals'!$C$29,COUNTIF('Resultats Reals'!$E$2:$E$33,X27)&gt;0),1,0))+IF(Y27='Resultats Reals'!$C$33,2,IF(OR(Y27='Resultats Reals'!$C$32,COUNTIF('Resultats Reals'!$E$2:$E$33,Y27)&gt;0),1,0))+IF(Z27='Resultats Reals'!$C$36,2,IF(OR(Z27='Resultats Reals'!$C$35,COUNTIF('Resultats Reals'!$E$2:$E$33,Z27)&gt;0),1,0))</f>
        <v>13</v>
      </c>
      <c r="BW27">
        <f>IF(AA27='Resultats Reals'!$C$4,IF(COUNTIF('Resultats Reals'!$E$2:$E$33,AA27)&gt;0,2,0.5),IF(OR(AA27='Resultats Reals'!$C$2,AA27='Resultats Reals'!$C$3,COUNTIF('Resultats Reals'!$E$2:$E$33,AA27)&gt;0),1,0))+IF(AB27='Resultats Reals'!$C$7,IF(COUNTIF('Resultats Reals'!$E$2:$E$33,AB27)&gt;0,2,0.5),IF(OR(AB27='Resultats Reals'!$C$5,AB27='Resultats Reals'!$C$6,COUNTIF('Resultats Reals'!$E$2:$E$33,AB27)&gt;0),1,0))+IF(AC27='Resultats Reals'!$C$10,IF(COUNTIF('Resultats Reals'!$E$2:$E$33,AC27)&gt;0,2,0.5),IF(OR(AC27='Resultats Reals'!$C$8,AC27='Resultats Reals'!$C$9,COUNTIF('Resultats Reals'!$E$2:$E$33,AC27)&gt;0),1,0))+IF(AD27='Resultats Reals'!$C$13,IF(COUNTIF('Resultats Reals'!$E$2:$E$33,AD27)&gt;0,2,0.5),IF(OR(AD27='Resultats Reals'!$C$11,AD27='Resultats Reals'!$C$12,COUNTIF('Resultats Reals'!$E$2:$E$33,AD27)&gt;0),1,0))+IF(AE27='Resultats Reals'!$C$16,IF(COUNTIF('Resultats Reals'!$E$2:$E$33,AE27)&gt;0,2,0.5),IF(OR(AE27='Resultats Reals'!$C$14,AE27='Resultats Reals'!$C$15,COUNTIF('Resultats Reals'!$E$2:$E$33,AE27)&gt;0),1,0))+IF(AF27='Resultats Reals'!$C$19,IF(COUNTIF('Resultats Reals'!$E$2:$E$33,AF27)&gt;0,2,0.5),IF(OR(AF27='Resultats Reals'!$C$17,AF27='Resultats Reals'!$C$18,COUNTIF('Resultats Reals'!$E$2:$E$33,AF27)&gt;0),1,0))+IF(AG27='Resultats Reals'!$C$22,IF(COUNTIF('Resultats Reals'!$E$2:$E$33,AG27)&gt;0,2,0.5),IF(OR(AG27='Resultats Reals'!$C$20,AG27='Resultats Reals'!$C$21,COUNTIF('Resultats Reals'!$E$2:$E$33,AG27)&gt;0),1,0))+IF(AH27='Resultats Reals'!$C$25,IF(COUNTIF('Resultats Reals'!$E$2:$E$33,AH27)&gt;0,2,0.5),IF(OR(AH27='Resultats Reals'!$C$23,AH27='Resultats Reals'!$C$24,COUNTIF('Resultats Reals'!$E$2:$E$33,AH27)&gt;0),1,0))+IF(AI27='Resultats Reals'!$C$28,IF(COUNTIF('Resultats Reals'!$E$2:$E$33,AI27)&gt;0,2,0.5),IF(OR(AI27='Resultats Reals'!$C$26,AI27='Resultats Reals'!$C$27,COUNTIF('Resultats Reals'!$E$2:$E$33,AI27)&gt;0),1,0))+IF(AJ27='Resultats Reals'!$C$31,IF(COUNTIF('Resultats Reals'!$E$2:$E$33,AJ27)&gt;0,2,0.5),IF(OR(AJ27='Resultats Reals'!$C$29,AJ27='Resultats Reals'!$C$30,COUNTIF('Resultats Reals'!$E$2:$E$33,AJ27)&gt;0),1,0))+IF(AK27='Resultats Reals'!$C$34,IF(COUNTIF('Resultats Reals'!$E$2:$E$33,AK27)&gt;0,2,0.5),IF(OR(AK27='Resultats Reals'!$C$32,AK27='Resultats Reals'!$C$33,COUNTIF('Resultats Reals'!$E$2:$E$33,AK27)&gt;0),1,0))+IF(AL27='Resultats Reals'!$C$37,IF(COUNTIF('Resultats Reals'!$E$2:$E$33,AL27)&gt;0,2,0.5),IF(OR(AL27='Resultats Reals'!$C$35,AL27='Resultats Reals'!$C$36,COUNTIF('Resultats Reals'!$E$2:$E$33,AL27)&gt;0),1,0))</f>
        <v>11</v>
      </c>
      <c r="BX27">
        <f>IF(COUNTIF('Resultats Reals'!$F$2:$F$17,AM27)&gt;0,1,0)+IF(COUNTIF('Resultats Reals'!$F$2:$F$17,AN27)&gt;0,1,0)+IF(COUNTIF('Resultats Reals'!$F$2:$F$17,AO27)&gt;0,1,0)+IF(COUNTIF('Resultats Reals'!$F$2:$F$17,AP27)&gt;0,1,0)+IF(COUNTIF('Resultats Reals'!$F$2:$F$17,AQ27)&gt;0,1,0)+IF(COUNTIF('Resultats Reals'!$F$2:$F$17,AR27)&gt;0,1,0)+IF(COUNTIF('Resultats Reals'!$F$2:$F$17,AS27)&gt;0,1,0)+IF(COUNTIF('Resultats Reals'!$F$2:$F$17,AT27)&gt;0,1,0)+IF(COUNTIF('Resultats Reals'!$F$2:$F$17,AU27)&gt;0,1,0)+IF(COUNTIF('Resultats Reals'!$F$2:$F$17,AV27)&gt;0,1,0)+IF(COUNTIF('Resultats Reals'!$F$2:$F$17,AW27)&gt;0,1,0)+IF(COUNTIF('Resultats Reals'!$F$2:$F$17,AX27)&gt;0,1,0)+IF(COUNTIF('Resultats Reals'!$F$2:$F$17,AY27)&gt;0,1,0)+IF(COUNTIF('Resultats Reals'!$F$2:$F$17,AZ27)&gt;0,1,0)+IF(COUNTIF('Resultats Reals'!$F$2:$F$17,BA27)&gt;0,1,0)+IF(COUNTIF('Resultats Reals'!$F$2:$F$17,BB27)&gt;0,1,0)</f>
        <v>11</v>
      </c>
      <c r="BY27">
        <f>IF(COUNTIF('Resultats Reals'!$G$2:$G$9,BC27)&gt;0,1,0)+IF(COUNTIF('Resultats Reals'!$G$2:$G$9,BD27)&gt;0,1,0)+IF(COUNTIF('Resultats Reals'!$G$2:$G$9,BE27)&gt;0,1,0)+IF(COUNTIF('Resultats Reals'!$G$2:$G$9,BF27)&gt;0,1,0)+IF(COUNTIF('Resultats Reals'!$G$2:$G$9,BG27)&gt;0,1,0)+IF(COUNTIF('Resultats Reals'!$G$2:$G$9,BH27)&gt;0,1,0)+IF(COUNTIF('Resultats Reals'!$G$2:$G$9,BI27)&gt;0,1,0)+IF(COUNTIF('Resultats Reals'!$G$2:$G$9,BJ27)&gt;0,1,0)</f>
        <v>4</v>
      </c>
      <c r="BZ27">
        <f>IF(COUNTIF('Resultats Reals'!$H$2:$H$5,BK27)&gt;0,1,0)+IF(COUNTIF('Resultats Reals'!$H$2:$H$5,BL27)&gt;0,1,0)+IF(COUNTIF('Resultats Reals'!$H$2:$H$5,BM27)&gt;0,1,0)+IF(COUNTIF('Resultats Reals'!$H$2:$H$5,BN27)&gt;0,1,0)</f>
        <v>3</v>
      </c>
      <c r="CA27">
        <f>IF(COUNTIF('Resultats Reals'!$I$2:$I$3,BO27)&gt;0,3,0)+IF(COUNTIF('Resultats Reals'!$I$2:$I$3,BP27)&gt;0,3,0)</f>
        <v>0</v>
      </c>
      <c r="CB27">
        <f>IF(BQ27='Resultats Reals'!$J$2,5,0)</f>
        <v>0</v>
      </c>
      <c r="CC27">
        <f>IF(BS27='Resultats Reals'!$K$2,5,0)</f>
        <v>0</v>
      </c>
      <c r="CD27">
        <f>IFERROR(VLOOKUP(BT27,'Resultats Reals'!$N$2:$O$100,2,FALSE),0)</f>
        <v>1</v>
      </c>
      <c r="CE27">
        <f>IF(BR27='Resultats Reals'!$L$2,5,0)</f>
        <v>0</v>
      </c>
      <c r="CF27" s="7">
        <f t="shared" si="0"/>
        <v>66</v>
      </c>
    </row>
    <row r="28" spans="1:84" x14ac:dyDescent="0.25">
      <c r="A28" t="s">
        <v>165</v>
      </c>
      <c r="B28" t="s">
        <v>135</v>
      </c>
      <c r="C28" t="s">
        <v>86</v>
      </c>
      <c r="D28" t="s">
        <v>87</v>
      </c>
      <c r="E28" t="s">
        <v>88</v>
      </c>
      <c r="F28" t="s">
        <v>101</v>
      </c>
      <c r="G28" t="s">
        <v>90</v>
      </c>
      <c r="H28" t="s">
        <v>91</v>
      </c>
      <c r="I28" t="s">
        <v>92</v>
      </c>
      <c r="J28" t="s">
        <v>93</v>
      </c>
      <c r="K28" t="s">
        <v>94</v>
      </c>
      <c r="L28" t="s">
        <v>95</v>
      </c>
      <c r="M28" t="s">
        <v>108</v>
      </c>
      <c r="N28" t="s">
        <v>97</v>
      </c>
      <c r="O28" t="s">
        <v>110</v>
      </c>
      <c r="P28" t="s">
        <v>99</v>
      </c>
      <c r="Q28" t="s">
        <v>100</v>
      </c>
      <c r="R28" t="s">
        <v>112</v>
      </c>
      <c r="S28" t="s">
        <v>113</v>
      </c>
      <c r="T28" t="s">
        <v>103</v>
      </c>
      <c r="U28" t="s">
        <v>138</v>
      </c>
      <c r="V28" t="s">
        <v>105</v>
      </c>
      <c r="W28" t="s">
        <v>106</v>
      </c>
      <c r="X28" t="s">
        <v>107</v>
      </c>
      <c r="Y28" t="s">
        <v>96</v>
      </c>
      <c r="Z28" t="s">
        <v>109</v>
      </c>
      <c r="AA28" t="s">
        <v>98</v>
      </c>
      <c r="AB28" t="s">
        <v>245</v>
      </c>
      <c r="AC28" t="s">
        <v>111</v>
      </c>
      <c r="AD28" t="s">
        <v>89</v>
      </c>
      <c r="AE28" t="s">
        <v>102</v>
      </c>
      <c r="AF28" t="s">
        <v>114</v>
      </c>
      <c r="AG28" t="s">
        <v>104</v>
      </c>
      <c r="AH28" t="s">
        <v>116</v>
      </c>
      <c r="AI28" t="s">
        <v>117</v>
      </c>
      <c r="AJ28" t="s">
        <v>118</v>
      </c>
      <c r="AK28" t="s">
        <v>127</v>
      </c>
      <c r="AL28" t="s">
        <v>120</v>
      </c>
      <c r="AM28" t="s">
        <v>86</v>
      </c>
      <c r="AN28" t="s">
        <v>100</v>
      </c>
      <c r="AO28" t="s">
        <v>90</v>
      </c>
      <c r="AP28" t="s">
        <v>96</v>
      </c>
      <c r="AQ28" t="s">
        <v>94</v>
      </c>
      <c r="AR28" t="s">
        <v>105</v>
      </c>
      <c r="AS28" t="s">
        <v>92</v>
      </c>
      <c r="AT28" t="s">
        <v>87</v>
      </c>
      <c r="AU28" t="s">
        <v>88</v>
      </c>
      <c r="AV28" t="s">
        <v>91</v>
      </c>
      <c r="AW28" t="s">
        <v>93</v>
      </c>
      <c r="AX28" t="s">
        <v>95</v>
      </c>
      <c r="AY28" t="s">
        <v>103</v>
      </c>
      <c r="AZ28" t="s">
        <v>97</v>
      </c>
      <c r="BA28" t="s">
        <v>99</v>
      </c>
      <c r="BB28" t="s">
        <v>108</v>
      </c>
      <c r="BC28" t="s">
        <v>86</v>
      </c>
      <c r="BD28" t="s">
        <v>90</v>
      </c>
      <c r="BE28" t="s">
        <v>94</v>
      </c>
      <c r="BF28" t="s">
        <v>92</v>
      </c>
      <c r="BG28" t="s">
        <v>88</v>
      </c>
      <c r="BH28" t="s">
        <v>91</v>
      </c>
      <c r="BI28" t="s">
        <v>95</v>
      </c>
      <c r="BJ28" t="s">
        <v>97</v>
      </c>
      <c r="BK28" t="s">
        <v>90</v>
      </c>
      <c r="BL28" t="s">
        <v>94</v>
      </c>
      <c r="BM28" t="s">
        <v>88</v>
      </c>
      <c r="BN28" t="s">
        <v>95</v>
      </c>
      <c r="BO28" t="s">
        <v>90</v>
      </c>
      <c r="BP28" t="s">
        <v>88</v>
      </c>
      <c r="BQ28" t="s">
        <v>88</v>
      </c>
      <c r="BS28" t="s">
        <v>166</v>
      </c>
      <c r="BT28" t="s">
        <v>166</v>
      </c>
      <c r="BU28">
        <f>IF(C28='Resultats Reals'!$C$2,2,IF(OR(C28='Resultats Reals'!$C$3,COUNTIF('Resultats Reals'!$E$2:$E$33,C28)&gt;0),1,0))+IF(D28='Resultats Reals'!$C$5,2,IF(OR(D28='Resultats Reals'!$C$6,COUNTIF('Resultats Reals'!$E$2:$E$33,D28)&gt;0),1,0))+IF(E28='Resultats Reals'!$C$8,2,IF(OR(E28='Resultats Reals'!$C$9,COUNTIF('Resultats Reals'!$E$2:$E$33,E28)&gt;0),1,0))+IF(F28='Resultats Reals'!$C$11,2,IF(OR(F28='Resultats Reals'!$C$12,COUNTIF('Resultats Reals'!$E$2:$E$33,F28)&gt;0),1,0))+IF(G28='Resultats Reals'!$C$14,2,IF(OR(G28='Resultats Reals'!$C$15,COUNTIF('Resultats Reals'!$E$2:$E$33,G28)&gt;0),1,0))+IF(H28='Resultats Reals'!$C$17,2,IF(OR(H28='Resultats Reals'!$C$18,COUNTIF('Resultats Reals'!$E$2:$E$33,H28)&gt;0),1,0))+IF(I28='Resultats Reals'!$C$20,2,IF(OR(I28='Resultats Reals'!$C$21,COUNTIF('Resultats Reals'!$E$2:$E$33,I28)&gt;0),1,0))+IF(J28='Resultats Reals'!$C$23,2,IF(OR(J28='Resultats Reals'!$C$24,COUNTIF('Resultats Reals'!$E$2:$E$33,J28)&gt;0),1,0))+IF(K28='Resultats Reals'!$C$26,2,IF(OR(K28='Resultats Reals'!$C$27,COUNTIF('Resultats Reals'!$E$2:$E$33,K28)&gt;0),1,0))+IF(L28='Resultats Reals'!$C$29,2,IF(OR(L28='Resultats Reals'!$C$30,COUNTIF('Resultats Reals'!$E$2:$E$33,L28)&gt;0),1,0))+IF(M28='Resultats Reals'!$C$32,2,IF(OR(M28='Resultats Reals'!$C$33,COUNTIF('Resultats Reals'!$E$2:$E$33,M28)&gt;0),1,0))+IF(N28='Resultats Reals'!$C$35,2,IF(OR(N28='Resultats Reals'!$C$36,COUNTIF('Resultats Reals'!$E$2:$E$33,N28)&gt;0),1,0))</f>
        <v>22</v>
      </c>
      <c r="BV28">
        <f>IF(O28='Resultats Reals'!$C$3,2,IF(OR(O28='Resultats Reals'!$C$2,COUNTIF('Resultats Reals'!$E$2:$E$33,O28)&gt;0),1,0))+IF(P28='Resultats Reals'!$C$6,2,IF(OR(P28='Resultats Reals'!$C$5,COUNTIF('Resultats Reals'!$E$2:$E$33,P28)&gt;0),1,0))+IF(Q28='Resultats Reals'!$C$9,2,IF(OR(Q28='Resultats Reals'!$C$8,COUNTIF('Resultats Reals'!$E$2:$E$33,Q28)&gt;0),1,0))+IF(R28='Resultats Reals'!$C$12,2,IF(OR(R28='Resultats Reals'!$C$11,COUNTIF('Resultats Reals'!$E$2:$E$33,R28)&gt;0),1,0))+IF(S28='Resultats Reals'!$C$15,2,IF(OR(S28='Resultats Reals'!$C$14,COUNTIF('Resultats Reals'!$E$2:$E$33,S28)&gt;0),1,0))+IF(T28='Resultats Reals'!$C$18,2,IF(OR(T28='Resultats Reals'!$C$17,COUNTIF('Resultats Reals'!$E$2:$E$33,T28)&gt;0),1,0))+IF(U28='Resultats Reals'!$C$21,2,IF(OR(U28='Resultats Reals'!$C$20,COUNTIF('Resultats Reals'!$E$2:$E$33,U28)&gt;0),1,0))+IF(V28='Resultats Reals'!$C$24,2,IF(OR(V28='Resultats Reals'!$C$23,COUNTIF('Resultats Reals'!$E$2:$E$33,V28)&gt;0),1,0))+IF(W28='Resultats Reals'!$C$27,2,IF(OR(W28='Resultats Reals'!$C$26,COUNTIF('Resultats Reals'!$E$2:$E$33,W28)&gt;0),1,0))+IF(X28='Resultats Reals'!$C$30,2,IF(OR(X28='Resultats Reals'!$C$29,COUNTIF('Resultats Reals'!$E$2:$E$33,X28)&gt;0),1,0))+IF(Y28='Resultats Reals'!$C$33,2,IF(OR(Y28='Resultats Reals'!$C$32,COUNTIF('Resultats Reals'!$E$2:$E$33,Y28)&gt;0),1,0))+IF(Z28='Resultats Reals'!$C$36,2,IF(OR(Z28='Resultats Reals'!$C$35,COUNTIF('Resultats Reals'!$E$2:$E$33,Z28)&gt;0),1,0))</f>
        <v>15</v>
      </c>
      <c r="BW28">
        <f>IF(AA28='Resultats Reals'!$C$4,IF(COUNTIF('Resultats Reals'!$E$2:$E$33,AA28)&gt;0,2,0.5),IF(OR(AA28='Resultats Reals'!$C$2,AA28='Resultats Reals'!$C$3,COUNTIF('Resultats Reals'!$E$2:$E$33,AA28)&gt;0),1,0))+IF(AB28='Resultats Reals'!$C$7,IF(COUNTIF('Resultats Reals'!$E$2:$E$33,AB28)&gt;0,2,0.5),IF(OR(AB28='Resultats Reals'!$C$5,AB28='Resultats Reals'!$C$6,COUNTIF('Resultats Reals'!$E$2:$E$33,AB28)&gt;0),1,0))+IF(AC28='Resultats Reals'!$C$10,IF(COUNTIF('Resultats Reals'!$E$2:$E$33,AC28)&gt;0,2,0.5),IF(OR(AC28='Resultats Reals'!$C$8,AC28='Resultats Reals'!$C$9,COUNTIF('Resultats Reals'!$E$2:$E$33,AC28)&gt;0),1,0))+IF(AD28='Resultats Reals'!$C$13,IF(COUNTIF('Resultats Reals'!$E$2:$E$33,AD28)&gt;0,2,0.5),IF(OR(AD28='Resultats Reals'!$C$11,AD28='Resultats Reals'!$C$12,COUNTIF('Resultats Reals'!$E$2:$E$33,AD28)&gt;0),1,0))+IF(AE28='Resultats Reals'!$C$16,IF(COUNTIF('Resultats Reals'!$E$2:$E$33,AE28)&gt;0,2,0.5),IF(OR(AE28='Resultats Reals'!$C$14,AE28='Resultats Reals'!$C$15,COUNTIF('Resultats Reals'!$E$2:$E$33,AE28)&gt;0),1,0))+IF(AF28='Resultats Reals'!$C$19,IF(COUNTIF('Resultats Reals'!$E$2:$E$33,AF28)&gt;0,2,0.5),IF(OR(AF28='Resultats Reals'!$C$17,AF28='Resultats Reals'!$C$18,COUNTIF('Resultats Reals'!$E$2:$E$33,AF28)&gt;0),1,0))+IF(AG28='Resultats Reals'!$C$22,IF(COUNTIF('Resultats Reals'!$E$2:$E$33,AG28)&gt;0,2,0.5),IF(OR(AG28='Resultats Reals'!$C$20,AG28='Resultats Reals'!$C$21,COUNTIF('Resultats Reals'!$E$2:$E$33,AG28)&gt;0),1,0))+IF(AH28='Resultats Reals'!$C$25,IF(COUNTIF('Resultats Reals'!$E$2:$E$33,AH28)&gt;0,2,0.5),IF(OR(AH28='Resultats Reals'!$C$23,AH28='Resultats Reals'!$C$24,COUNTIF('Resultats Reals'!$E$2:$E$33,AH28)&gt;0),1,0))+IF(AI28='Resultats Reals'!$C$28,IF(COUNTIF('Resultats Reals'!$E$2:$E$33,AI28)&gt;0,2,0.5),IF(OR(AI28='Resultats Reals'!$C$26,AI28='Resultats Reals'!$C$27,COUNTIF('Resultats Reals'!$E$2:$E$33,AI28)&gt;0),1,0))+IF(AJ28='Resultats Reals'!$C$31,IF(COUNTIF('Resultats Reals'!$E$2:$E$33,AJ28)&gt;0,2,0.5),IF(OR(AJ28='Resultats Reals'!$C$29,AJ28='Resultats Reals'!$C$30,COUNTIF('Resultats Reals'!$E$2:$E$33,AJ28)&gt;0),1,0))+IF(AK28='Resultats Reals'!$C$34,IF(COUNTIF('Resultats Reals'!$E$2:$E$33,AK28)&gt;0,2,0.5),IF(OR(AK28='Resultats Reals'!$C$32,AK28='Resultats Reals'!$C$33,COUNTIF('Resultats Reals'!$E$2:$E$33,AK28)&gt;0),1,0))+IF(AL28='Resultats Reals'!$C$37,IF(COUNTIF('Resultats Reals'!$E$2:$E$33,AL28)&gt;0,2,0.5),IF(OR(AL28='Resultats Reals'!$C$35,AL28='Resultats Reals'!$C$36,COUNTIF('Resultats Reals'!$E$2:$E$33,AL28)&gt;0),1,0))</f>
        <v>15</v>
      </c>
      <c r="BX28">
        <f>IF(COUNTIF('Resultats Reals'!$F$2:$F$17,AM28)&gt;0,1,0)+IF(COUNTIF('Resultats Reals'!$F$2:$F$17,AN28)&gt;0,1,0)+IF(COUNTIF('Resultats Reals'!$F$2:$F$17,AO28)&gt;0,1,0)+IF(COUNTIF('Resultats Reals'!$F$2:$F$17,AP28)&gt;0,1,0)+IF(COUNTIF('Resultats Reals'!$F$2:$F$17,AQ28)&gt;0,1,0)+IF(COUNTIF('Resultats Reals'!$F$2:$F$17,AR28)&gt;0,1,0)+IF(COUNTIF('Resultats Reals'!$F$2:$F$17,AS28)&gt;0,1,0)+IF(COUNTIF('Resultats Reals'!$F$2:$F$17,AT28)&gt;0,1,0)+IF(COUNTIF('Resultats Reals'!$F$2:$F$17,AU28)&gt;0,1,0)+IF(COUNTIF('Resultats Reals'!$F$2:$F$17,AV28)&gt;0,1,0)+IF(COUNTIF('Resultats Reals'!$F$2:$F$17,AW28)&gt;0,1,0)+IF(COUNTIF('Resultats Reals'!$F$2:$F$17,AX28)&gt;0,1,0)+IF(COUNTIF('Resultats Reals'!$F$2:$F$17,AY28)&gt;0,1,0)+IF(COUNTIF('Resultats Reals'!$F$2:$F$17,AZ28)&gt;0,1,0)+IF(COUNTIF('Resultats Reals'!$F$2:$F$17,BA28)&gt;0,1,0)+IF(COUNTIF('Resultats Reals'!$F$2:$F$17,BB28)&gt;0,1,0)</f>
        <v>12</v>
      </c>
      <c r="BY28">
        <f>IF(COUNTIF('Resultats Reals'!$G$2:$G$9,BC28)&gt;0,1,0)+IF(COUNTIF('Resultats Reals'!$G$2:$G$9,BD28)&gt;0,1,0)+IF(COUNTIF('Resultats Reals'!$G$2:$G$9,BE28)&gt;0,1,0)+IF(COUNTIF('Resultats Reals'!$G$2:$G$9,BF28)&gt;0,1,0)+IF(COUNTIF('Resultats Reals'!$G$2:$G$9,BG28)&gt;0,1,0)+IF(COUNTIF('Resultats Reals'!$G$2:$G$9,BH28)&gt;0,1,0)+IF(COUNTIF('Resultats Reals'!$G$2:$G$9,BI28)&gt;0,1,0)+IF(COUNTIF('Resultats Reals'!$G$2:$G$9,BJ28)&gt;0,1,0)</f>
        <v>4</v>
      </c>
      <c r="BZ28">
        <f>IF(COUNTIF('Resultats Reals'!$H$2:$H$5,BK28)&gt;0,1,0)+IF(COUNTIF('Resultats Reals'!$H$2:$H$5,BL28)&gt;0,1,0)+IF(COUNTIF('Resultats Reals'!$H$2:$H$5,BM28)&gt;0,1,0)+IF(COUNTIF('Resultats Reals'!$H$2:$H$5,BN28)&gt;0,1,0)</f>
        <v>2</v>
      </c>
      <c r="CA28">
        <f>IF(COUNTIF('Resultats Reals'!$I$2:$I$3,BO28)&gt;0,3,0)+IF(COUNTIF('Resultats Reals'!$I$2:$I$3,BP28)&gt;0,3,0)</f>
        <v>0</v>
      </c>
      <c r="CB28">
        <f>IF(BQ28='Resultats Reals'!$J$2,5,0)</f>
        <v>0</v>
      </c>
      <c r="CC28">
        <f>IF(BS28='Resultats Reals'!$K$2,5,0)</f>
        <v>0</v>
      </c>
      <c r="CD28">
        <f>IFERROR(VLOOKUP(BT28,'Resultats Reals'!$N$2:$O$100,2,FALSE),0)</f>
        <v>4</v>
      </c>
      <c r="CE28">
        <f>IF(BR28='Resultats Reals'!$L$2,5,0)</f>
        <v>0</v>
      </c>
      <c r="CF28" s="7">
        <f t="shared" si="0"/>
        <v>74</v>
      </c>
    </row>
    <row r="29" spans="1:84" x14ac:dyDescent="0.25">
      <c r="A29" t="s">
        <v>169</v>
      </c>
      <c r="B29" t="s">
        <v>135</v>
      </c>
      <c r="C29" t="s">
        <v>98</v>
      </c>
      <c r="D29" t="s">
        <v>87</v>
      </c>
      <c r="E29" t="s">
        <v>88</v>
      </c>
      <c r="F29" t="s">
        <v>112</v>
      </c>
      <c r="G29" t="s">
        <v>90</v>
      </c>
      <c r="H29" t="s">
        <v>91</v>
      </c>
      <c r="I29" t="s">
        <v>104</v>
      </c>
      <c r="J29" t="s">
        <v>93</v>
      </c>
      <c r="K29" t="s">
        <v>94</v>
      </c>
      <c r="L29" t="s">
        <v>95</v>
      </c>
      <c r="M29" t="s">
        <v>108</v>
      </c>
      <c r="N29" t="s">
        <v>109</v>
      </c>
      <c r="O29" t="s">
        <v>110</v>
      </c>
      <c r="P29" t="s">
        <v>245</v>
      </c>
      <c r="Q29" t="s">
        <v>100</v>
      </c>
      <c r="R29" t="s">
        <v>101</v>
      </c>
      <c r="S29" t="s">
        <v>102</v>
      </c>
      <c r="T29" t="s">
        <v>114</v>
      </c>
      <c r="U29" t="s">
        <v>92</v>
      </c>
      <c r="V29" t="s">
        <v>105</v>
      </c>
      <c r="W29" t="s">
        <v>117</v>
      </c>
      <c r="X29" t="s">
        <v>118</v>
      </c>
      <c r="Y29" t="s">
        <v>96</v>
      </c>
      <c r="Z29" t="s">
        <v>97</v>
      </c>
      <c r="AA29" t="s">
        <v>130</v>
      </c>
      <c r="AB29" t="s">
        <v>99</v>
      </c>
      <c r="AC29" t="s">
        <v>170</v>
      </c>
      <c r="AD29" t="s">
        <v>89</v>
      </c>
      <c r="AE29" t="s">
        <v>113</v>
      </c>
      <c r="AF29" t="s">
        <v>103</v>
      </c>
      <c r="AG29" t="s">
        <v>138</v>
      </c>
      <c r="AH29" t="s">
        <v>142</v>
      </c>
      <c r="AI29" t="s">
        <v>106</v>
      </c>
      <c r="AJ29" t="s">
        <v>107</v>
      </c>
      <c r="AK29" t="s">
        <v>127</v>
      </c>
      <c r="AL29" t="s">
        <v>120</v>
      </c>
      <c r="AM29" t="s">
        <v>98</v>
      </c>
      <c r="AN29" t="s">
        <v>105</v>
      </c>
      <c r="AO29" t="s">
        <v>88</v>
      </c>
      <c r="AP29" t="s">
        <v>112</v>
      </c>
      <c r="AQ29" t="s">
        <v>90</v>
      </c>
      <c r="AR29" t="s">
        <v>91</v>
      </c>
      <c r="AS29" t="s">
        <v>104</v>
      </c>
      <c r="AT29" t="s">
        <v>93</v>
      </c>
      <c r="AU29" t="s">
        <v>94</v>
      </c>
      <c r="AV29" t="s">
        <v>95</v>
      </c>
      <c r="AW29" t="s">
        <v>108</v>
      </c>
      <c r="AX29" t="s">
        <v>109</v>
      </c>
      <c r="AY29" t="s">
        <v>96</v>
      </c>
      <c r="AZ29" t="s">
        <v>97</v>
      </c>
      <c r="BA29" t="s">
        <v>117</v>
      </c>
      <c r="BB29" t="s">
        <v>100</v>
      </c>
      <c r="BC29" t="s">
        <v>93</v>
      </c>
      <c r="BD29" t="s">
        <v>94</v>
      </c>
      <c r="BE29" t="s">
        <v>88</v>
      </c>
      <c r="BF29" t="s">
        <v>90</v>
      </c>
      <c r="BG29" t="s">
        <v>95</v>
      </c>
      <c r="BH29" t="s">
        <v>117</v>
      </c>
      <c r="BI29" t="s">
        <v>109</v>
      </c>
      <c r="BJ29" t="s">
        <v>91</v>
      </c>
      <c r="BK29" t="s">
        <v>93</v>
      </c>
      <c r="BL29" t="s">
        <v>94</v>
      </c>
      <c r="BM29" t="s">
        <v>95</v>
      </c>
      <c r="BN29" t="s">
        <v>88</v>
      </c>
      <c r="BO29" t="s">
        <v>93</v>
      </c>
      <c r="BP29" t="s">
        <v>95</v>
      </c>
      <c r="BQ29" t="s">
        <v>93</v>
      </c>
      <c r="BS29" t="s">
        <v>121</v>
      </c>
      <c r="BT29" t="s">
        <v>128</v>
      </c>
      <c r="BU29">
        <f>IF(C29='Resultats Reals'!$C$2,2,IF(OR(C29='Resultats Reals'!$C$3,COUNTIF('Resultats Reals'!$E$2:$E$33,C29)&gt;0),1,0))+IF(D29='Resultats Reals'!$C$5,2,IF(OR(D29='Resultats Reals'!$C$6,COUNTIF('Resultats Reals'!$E$2:$E$33,D29)&gt;0),1,0))+IF(E29='Resultats Reals'!$C$8,2,IF(OR(E29='Resultats Reals'!$C$9,COUNTIF('Resultats Reals'!$E$2:$E$33,E29)&gt;0),1,0))+IF(F29='Resultats Reals'!$C$11,2,IF(OR(F29='Resultats Reals'!$C$12,COUNTIF('Resultats Reals'!$E$2:$E$33,F29)&gt;0),1,0))+IF(G29='Resultats Reals'!$C$14,2,IF(OR(G29='Resultats Reals'!$C$15,COUNTIF('Resultats Reals'!$E$2:$E$33,G29)&gt;0),1,0))+IF(H29='Resultats Reals'!$C$17,2,IF(OR(H29='Resultats Reals'!$C$18,COUNTIF('Resultats Reals'!$E$2:$E$33,H29)&gt;0),1,0))+IF(I29='Resultats Reals'!$C$20,2,IF(OR(I29='Resultats Reals'!$C$21,COUNTIF('Resultats Reals'!$E$2:$E$33,I29)&gt;0),1,0))+IF(J29='Resultats Reals'!$C$23,2,IF(OR(J29='Resultats Reals'!$C$24,COUNTIF('Resultats Reals'!$E$2:$E$33,J29)&gt;0),1,0))+IF(K29='Resultats Reals'!$C$26,2,IF(OR(K29='Resultats Reals'!$C$27,COUNTIF('Resultats Reals'!$E$2:$E$33,K29)&gt;0),1,0))+IF(L29='Resultats Reals'!$C$29,2,IF(OR(L29='Resultats Reals'!$C$30,COUNTIF('Resultats Reals'!$E$2:$E$33,L29)&gt;0),1,0))+IF(M29='Resultats Reals'!$C$32,2,IF(OR(M29='Resultats Reals'!$C$33,COUNTIF('Resultats Reals'!$E$2:$E$33,M29)&gt;0),1,0))+IF(N29='Resultats Reals'!$C$35,2,IF(OR(N29='Resultats Reals'!$C$36,COUNTIF('Resultats Reals'!$E$2:$E$33,N29)&gt;0),1,0))</f>
        <v>19</v>
      </c>
      <c r="BV29">
        <f>IF(O29='Resultats Reals'!$C$3,2,IF(OR(O29='Resultats Reals'!$C$2,COUNTIF('Resultats Reals'!$E$2:$E$33,O29)&gt;0),1,0))+IF(P29='Resultats Reals'!$C$6,2,IF(OR(P29='Resultats Reals'!$C$5,COUNTIF('Resultats Reals'!$E$2:$E$33,P29)&gt;0),1,0))+IF(Q29='Resultats Reals'!$C$9,2,IF(OR(Q29='Resultats Reals'!$C$8,COUNTIF('Resultats Reals'!$E$2:$E$33,Q29)&gt;0),1,0))+IF(R29='Resultats Reals'!$C$12,2,IF(OR(R29='Resultats Reals'!$C$11,COUNTIF('Resultats Reals'!$E$2:$E$33,R29)&gt;0),1,0))+IF(S29='Resultats Reals'!$C$15,2,IF(OR(S29='Resultats Reals'!$C$14,COUNTIF('Resultats Reals'!$E$2:$E$33,S29)&gt;0),1,0))+IF(T29='Resultats Reals'!$C$18,2,IF(OR(T29='Resultats Reals'!$C$17,COUNTIF('Resultats Reals'!$E$2:$E$33,T29)&gt;0),1,0))+IF(U29='Resultats Reals'!$C$21,2,IF(OR(U29='Resultats Reals'!$C$20,COUNTIF('Resultats Reals'!$E$2:$E$33,U29)&gt;0),1,0))+IF(V29='Resultats Reals'!$C$24,2,IF(OR(V29='Resultats Reals'!$C$23,COUNTIF('Resultats Reals'!$E$2:$E$33,V29)&gt;0),1,0))+IF(W29='Resultats Reals'!$C$27,2,IF(OR(W29='Resultats Reals'!$C$26,COUNTIF('Resultats Reals'!$E$2:$E$33,W29)&gt;0),1,0))+IF(X29='Resultats Reals'!$C$30,2,IF(OR(X29='Resultats Reals'!$C$29,COUNTIF('Resultats Reals'!$E$2:$E$33,X29)&gt;0),1,0))+IF(Y29='Resultats Reals'!$C$33,2,IF(OR(Y29='Resultats Reals'!$C$32,COUNTIF('Resultats Reals'!$E$2:$E$33,Y29)&gt;0),1,0))+IF(Z29='Resultats Reals'!$C$36,2,IF(OR(Z29='Resultats Reals'!$C$35,COUNTIF('Resultats Reals'!$E$2:$E$33,Z29)&gt;0),1,0))</f>
        <v>13</v>
      </c>
      <c r="BW29">
        <f>IF(AA29='Resultats Reals'!$C$4,IF(COUNTIF('Resultats Reals'!$E$2:$E$33,AA29)&gt;0,2,0.5),IF(OR(AA29='Resultats Reals'!$C$2,AA29='Resultats Reals'!$C$3,COUNTIF('Resultats Reals'!$E$2:$E$33,AA29)&gt;0),1,0))+IF(AB29='Resultats Reals'!$C$7,IF(COUNTIF('Resultats Reals'!$E$2:$E$33,AB29)&gt;0,2,0.5),IF(OR(AB29='Resultats Reals'!$C$5,AB29='Resultats Reals'!$C$6,COUNTIF('Resultats Reals'!$E$2:$E$33,AB29)&gt;0),1,0))+IF(AC29='Resultats Reals'!$C$10,IF(COUNTIF('Resultats Reals'!$E$2:$E$33,AC29)&gt;0,2,0.5),IF(OR(AC29='Resultats Reals'!$C$8,AC29='Resultats Reals'!$C$9,COUNTIF('Resultats Reals'!$E$2:$E$33,AC29)&gt;0),1,0))+IF(AD29='Resultats Reals'!$C$13,IF(COUNTIF('Resultats Reals'!$E$2:$E$33,AD29)&gt;0,2,0.5),IF(OR(AD29='Resultats Reals'!$C$11,AD29='Resultats Reals'!$C$12,COUNTIF('Resultats Reals'!$E$2:$E$33,AD29)&gt;0),1,0))+IF(AE29='Resultats Reals'!$C$16,IF(COUNTIF('Resultats Reals'!$E$2:$E$33,AE29)&gt;0,2,0.5),IF(OR(AE29='Resultats Reals'!$C$14,AE29='Resultats Reals'!$C$15,COUNTIF('Resultats Reals'!$E$2:$E$33,AE29)&gt;0),1,0))+IF(AF29='Resultats Reals'!$C$19,IF(COUNTIF('Resultats Reals'!$E$2:$E$33,AF29)&gt;0,2,0.5),IF(OR(AF29='Resultats Reals'!$C$17,AF29='Resultats Reals'!$C$18,COUNTIF('Resultats Reals'!$E$2:$E$33,AF29)&gt;0),1,0))+IF(AG29='Resultats Reals'!$C$22,IF(COUNTIF('Resultats Reals'!$E$2:$E$33,AG29)&gt;0,2,0.5),IF(OR(AG29='Resultats Reals'!$C$20,AG29='Resultats Reals'!$C$21,COUNTIF('Resultats Reals'!$E$2:$E$33,AG29)&gt;0),1,0))+IF(AH29='Resultats Reals'!$C$25,IF(COUNTIF('Resultats Reals'!$E$2:$E$33,AH29)&gt;0,2,0.5),IF(OR(AH29='Resultats Reals'!$C$23,AH29='Resultats Reals'!$C$24,COUNTIF('Resultats Reals'!$E$2:$E$33,AH29)&gt;0),1,0))+IF(AI29='Resultats Reals'!$C$28,IF(COUNTIF('Resultats Reals'!$E$2:$E$33,AI29)&gt;0,2,0.5),IF(OR(AI29='Resultats Reals'!$C$26,AI29='Resultats Reals'!$C$27,COUNTIF('Resultats Reals'!$E$2:$E$33,AI29)&gt;0),1,0))+IF(AJ29='Resultats Reals'!$C$31,IF(COUNTIF('Resultats Reals'!$E$2:$E$33,AJ29)&gt;0,2,0.5),IF(OR(AJ29='Resultats Reals'!$C$29,AJ29='Resultats Reals'!$C$30,COUNTIF('Resultats Reals'!$E$2:$E$33,AJ29)&gt;0),1,0))+IF(AK29='Resultats Reals'!$C$34,IF(COUNTIF('Resultats Reals'!$E$2:$E$33,AK29)&gt;0,2,0.5),IF(OR(AK29='Resultats Reals'!$C$32,AK29='Resultats Reals'!$C$33,COUNTIF('Resultats Reals'!$E$2:$E$33,AK29)&gt;0),1,0))+IF(AL29='Resultats Reals'!$C$37,IF(COUNTIF('Resultats Reals'!$E$2:$E$33,AL29)&gt;0,2,0.5),IF(OR(AL29='Resultats Reals'!$C$35,AL29='Resultats Reals'!$C$36,COUNTIF('Resultats Reals'!$E$2:$E$33,AL29)&gt;0),1,0))</f>
        <v>14</v>
      </c>
      <c r="BX29">
        <f>IF(COUNTIF('Resultats Reals'!$F$2:$F$17,AM29)&gt;0,1,0)+IF(COUNTIF('Resultats Reals'!$F$2:$F$17,AN29)&gt;0,1,0)+IF(COUNTIF('Resultats Reals'!$F$2:$F$17,AO29)&gt;0,1,0)+IF(COUNTIF('Resultats Reals'!$F$2:$F$17,AP29)&gt;0,1,0)+IF(COUNTIF('Resultats Reals'!$F$2:$F$17,AQ29)&gt;0,1,0)+IF(COUNTIF('Resultats Reals'!$F$2:$F$17,AR29)&gt;0,1,0)+IF(COUNTIF('Resultats Reals'!$F$2:$F$17,AS29)&gt;0,1,0)+IF(COUNTIF('Resultats Reals'!$F$2:$F$17,AT29)&gt;0,1,0)+IF(COUNTIF('Resultats Reals'!$F$2:$F$17,AU29)&gt;0,1,0)+IF(COUNTIF('Resultats Reals'!$F$2:$F$17,AV29)&gt;0,1,0)+IF(COUNTIF('Resultats Reals'!$F$2:$F$17,AW29)&gt;0,1,0)+IF(COUNTIF('Resultats Reals'!$F$2:$F$17,AX29)&gt;0,1,0)+IF(COUNTIF('Resultats Reals'!$F$2:$F$17,AY29)&gt;0,1,0)+IF(COUNTIF('Resultats Reals'!$F$2:$F$17,AZ29)&gt;0,1,0)+IF(COUNTIF('Resultats Reals'!$F$2:$F$17,BA29)&gt;0,1,0)+IF(COUNTIF('Resultats Reals'!$F$2:$F$17,BB29)&gt;0,1,0)</f>
        <v>11</v>
      </c>
      <c r="BY29">
        <f>IF(COUNTIF('Resultats Reals'!$G$2:$G$9,BC29)&gt;0,1,0)+IF(COUNTIF('Resultats Reals'!$G$2:$G$9,BD29)&gt;0,1,0)+IF(COUNTIF('Resultats Reals'!$G$2:$G$9,BE29)&gt;0,1,0)+IF(COUNTIF('Resultats Reals'!$G$2:$G$9,BF29)&gt;0,1,0)+IF(COUNTIF('Resultats Reals'!$G$2:$G$9,BG29)&gt;0,1,0)+IF(COUNTIF('Resultats Reals'!$G$2:$G$9,BH29)&gt;0,1,0)+IF(COUNTIF('Resultats Reals'!$G$2:$G$9,BI29)&gt;0,1,0)+IF(COUNTIF('Resultats Reals'!$G$2:$G$9,BJ29)&gt;0,1,0)</f>
        <v>4</v>
      </c>
      <c r="BZ29">
        <f>IF(COUNTIF('Resultats Reals'!$H$2:$H$5,BK29)&gt;0,1,0)+IF(COUNTIF('Resultats Reals'!$H$2:$H$5,BL29)&gt;0,1,0)+IF(COUNTIF('Resultats Reals'!$H$2:$H$5,BM29)&gt;0,1,0)+IF(COUNTIF('Resultats Reals'!$H$2:$H$5,BN29)&gt;0,1,0)</f>
        <v>3</v>
      </c>
      <c r="CA29">
        <f>IF(COUNTIF('Resultats Reals'!$I$2:$I$3,BO29)&gt;0,3,0)+IF(COUNTIF('Resultats Reals'!$I$2:$I$3,BP29)&gt;0,3,0)</f>
        <v>0</v>
      </c>
      <c r="CB29">
        <f>IF(BQ29='Resultats Reals'!$J$2,5,0)</f>
        <v>0</v>
      </c>
      <c r="CC29">
        <f>IF(BS29='Resultats Reals'!$K$2,5,0)</f>
        <v>0</v>
      </c>
      <c r="CD29">
        <f>IFERROR(VLOOKUP(BT29,'Resultats Reals'!$N$2:$O$100,2,FALSE),0)</f>
        <v>8</v>
      </c>
      <c r="CE29">
        <f>IF(BR29='Resultats Reals'!$L$2,5,0)</f>
        <v>0</v>
      </c>
      <c r="CF29" s="7">
        <f t="shared" si="0"/>
        <v>72</v>
      </c>
    </row>
    <row r="30" spans="1:84" x14ac:dyDescent="0.25">
      <c r="A30" t="s">
        <v>175</v>
      </c>
      <c r="B30" t="s">
        <v>163</v>
      </c>
      <c r="C30" t="s">
        <v>86</v>
      </c>
      <c r="D30" t="s">
        <v>87</v>
      </c>
      <c r="E30" t="s">
        <v>88</v>
      </c>
      <c r="F30" t="s">
        <v>112</v>
      </c>
      <c r="G30" t="s">
        <v>90</v>
      </c>
      <c r="H30" t="s">
        <v>91</v>
      </c>
      <c r="I30" t="s">
        <v>92</v>
      </c>
      <c r="J30" t="s">
        <v>93</v>
      </c>
      <c r="K30" t="s">
        <v>94</v>
      </c>
      <c r="L30" t="s">
        <v>95</v>
      </c>
      <c r="M30" t="s">
        <v>96</v>
      </c>
      <c r="N30" t="s">
        <v>97</v>
      </c>
      <c r="O30" t="s">
        <v>98</v>
      </c>
      <c r="P30" t="s">
        <v>99</v>
      </c>
      <c r="Q30" t="s">
        <v>100</v>
      </c>
      <c r="R30" t="s">
        <v>89</v>
      </c>
      <c r="S30" t="s">
        <v>102</v>
      </c>
      <c r="T30" t="s">
        <v>114</v>
      </c>
      <c r="U30" t="s">
        <v>104</v>
      </c>
      <c r="V30" t="s">
        <v>105</v>
      </c>
      <c r="W30" t="s">
        <v>117</v>
      </c>
      <c r="X30" t="s">
        <v>118</v>
      </c>
      <c r="Y30" t="s">
        <v>108</v>
      </c>
      <c r="Z30" t="s">
        <v>109</v>
      </c>
      <c r="AA30" t="s">
        <v>130</v>
      </c>
      <c r="AB30" t="s">
        <v>125</v>
      </c>
      <c r="AC30" t="s">
        <v>111</v>
      </c>
      <c r="AD30" t="s">
        <v>101</v>
      </c>
      <c r="AE30" t="s">
        <v>113</v>
      </c>
      <c r="AF30" t="s">
        <v>103</v>
      </c>
      <c r="AG30" t="s">
        <v>115</v>
      </c>
      <c r="AH30" t="s">
        <v>116</v>
      </c>
      <c r="AI30" t="s">
        <v>106</v>
      </c>
      <c r="AJ30" t="s">
        <v>107</v>
      </c>
      <c r="AK30" t="s">
        <v>127</v>
      </c>
      <c r="AL30" t="s">
        <v>144</v>
      </c>
      <c r="AM30" t="s">
        <v>90</v>
      </c>
      <c r="AN30" t="s">
        <v>94</v>
      </c>
      <c r="AO30" t="s">
        <v>98</v>
      </c>
      <c r="AP30" t="s">
        <v>100</v>
      </c>
      <c r="AQ30" t="s">
        <v>109</v>
      </c>
      <c r="AR30" t="s">
        <v>93</v>
      </c>
      <c r="AS30" t="s">
        <v>112</v>
      </c>
      <c r="AT30" t="s">
        <v>92</v>
      </c>
      <c r="AU30" t="s">
        <v>88</v>
      </c>
      <c r="AV30" t="s">
        <v>117</v>
      </c>
      <c r="AW30" t="s">
        <v>86</v>
      </c>
      <c r="AX30" t="s">
        <v>97</v>
      </c>
      <c r="AY30" t="s">
        <v>95</v>
      </c>
      <c r="AZ30" t="s">
        <v>104</v>
      </c>
      <c r="BA30" t="s">
        <v>87</v>
      </c>
      <c r="BB30" t="s">
        <v>96</v>
      </c>
      <c r="BC30" t="s">
        <v>94</v>
      </c>
      <c r="BD30" t="s">
        <v>100</v>
      </c>
      <c r="BE30" t="s">
        <v>93</v>
      </c>
      <c r="BF30" t="s">
        <v>92</v>
      </c>
      <c r="BG30" t="s">
        <v>88</v>
      </c>
      <c r="BH30" t="s">
        <v>97</v>
      </c>
      <c r="BI30" t="s">
        <v>95</v>
      </c>
      <c r="BJ30" t="s">
        <v>96</v>
      </c>
      <c r="BK30" t="s">
        <v>94</v>
      </c>
      <c r="BL30" t="s">
        <v>93</v>
      </c>
      <c r="BM30" t="s">
        <v>88</v>
      </c>
      <c r="BN30" t="s">
        <v>95</v>
      </c>
      <c r="BO30" t="s">
        <v>93</v>
      </c>
      <c r="BP30" t="s">
        <v>95</v>
      </c>
      <c r="BQ30" t="s">
        <v>93</v>
      </c>
      <c r="BR30" s="6" t="s">
        <v>176</v>
      </c>
      <c r="BS30" t="s">
        <v>128</v>
      </c>
      <c r="BT30" t="s">
        <v>128</v>
      </c>
      <c r="BU30">
        <f>IF(C30='Resultats Reals'!$C$2,2,IF(OR(C30='Resultats Reals'!$C$3,COUNTIF('Resultats Reals'!$E$2:$E$33,C30)&gt;0),1,0))+IF(D30='Resultats Reals'!$C$5,2,IF(OR(D30='Resultats Reals'!$C$6,COUNTIF('Resultats Reals'!$E$2:$E$33,D30)&gt;0),1,0))+IF(E30='Resultats Reals'!$C$8,2,IF(OR(E30='Resultats Reals'!$C$9,COUNTIF('Resultats Reals'!$E$2:$E$33,E30)&gt;0),1,0))+IF(F30='Resultats Reals'!$C$11,2,IF(OR(F30='Resultats Reals'!$C$12,COUNTIF('Resultats Reals'!$E$2:$E$33,F30)&gt;0),1,0))+IF(G30='Resultats Reals'!$C$14,2,IF(OR(G30='Resultats Reals'!$C$15,COUNTIF('Resultats Reals'!$E$2:$E$33,G30)&gt;0),1,0))+IF(H30='Resultats Reals'!$C$17,2,IF(OR(H30='Resultats Reals'!$C$18,COUNTIF('Resultats Reals'!$E$2:$E$33,H30)&gt;0),1,0))+IF(I30='Resultats Reals'!$C$20,2,IF(OR(I30='Resultats Reals'!$C$21,COUNTIF('Resultats Reals'!$E$2:$E$33,I30)&gt;0),1,0))+IF(J30='Resultats Reals'!$C$23,2,IF(OR(J30='Resultats Reals'!$C$24,COUNTIF('Resultats Reals'!$E$2:$E$33,J30)&gt;0),1,0))+IF(K30='Resultats Reals'!$C$26,2,IF(OR(K30='Resultats Reals'!$C$27,COUNTIF('Resultats Reals'!$E$2:$E$33,K30)&gt;0),1,0))+IF(L30='Resultats Reals'!$C$29,2,IF(OR(L30='Resultats Reals'!$C$30,COUNTIF('Resultats Reals'!$E$2:$E$33,L30)&gt;0),1,0))+IF(M30='Resultats Reals'!$C$32,2,IF(OR(M30='Resultats Reals'!$C$33,COUNTIF('Resultats Reals'!$E$2:$E$33,M30)&gt;0),1,0))+IF(N30='Resultats Reals'!$C$35,2,IF(OR(N30='Resultats Reals'!$C$36,COUNTIF('Resultats Reals'!$E$2:$E$33,N30)&gt;0),1,0))</f>
        <v>22</v>
      </c>
      <c r="BV30">
        <f>IF(O30='Resultats Reals'!$C$3,2,IF(OR(O30='Resultats Reals'!$C$2,COUNTIF('Resultats Reals'!$E$2:$E$33,O30)&gt;0),1,0))+IF(P30='Resultats Reals'!$C$6,2,IF(OR(P30='Resultats Reals'!$C$5,COUNTIF('Resultats Reals'!$E$2:$E$33,P30)&gt;0),1,0))+IF(Q30='Resultats Reals'!$C$9,2,IF(OR(Q30='Resultats Reals'!$C$8,COUNTIF('Resultats Reals'!$E$2:$E$33,Q30)&gt;0),1,0))+IF(R30='Resultats Reals'!$C$12,2,IF(OR(R30='Resultats Reals'!$C$11,COUNTIF('Resultats Reals'!$E$2:$E$33,R30)&gt;0),1,0))+IF(S30='Resultats Reals'!$C$15,2,IF(OR(S30='Resultats Reals'!$C$14,COUNTIF('Resultats Reals'!$E$2:$E$33,S30)&gt;0),1,0))+IF(T30='Resultats Reals'!$C$18,2,IF(OR(T30='Resultats Reals'!$C$17,COUNTIF('Resultats Reals'!$E$2:$E$33,T30)&gt;0),1,0))+IF(U30='Resultats Reals'!$C$21,2,IF(OR(U30='Resultats Reals'!$C$20,COUNTIF('Resultats Reals'!$E$2:$E$33,U30)&gt;0),1,0))+IF(V30='Resultats Reals'!$C$24,2,IF(OR(V30='Resultats Reals'!$C$23,COUNTIF('Resultats Reals'!$E$2:$E$33,V30)&gt;0),1,0))+IF(W30='Resultats Reals'!$C$27,2,IF(OR(W30='Resultats Reals'!$C$26,COUNTIF('Resultats Reals'!$E$2:$E$33,W30)&gt;0),1,0))+IF(X30='Resultats Reals'!$C$30,2,IF(OR(X30='Resultats Reals'!$C$29,COUNTIF('Resultats Reals'!$E$2:$E$33,X30)&gt;0),1,0))+IF(Y30='Resultats Reals'!$C$33,2,IF(OR(Y30='Resultats Reals'!$C$32,COUNTIF('Resultats Reals'!$E$2:$E$33,Y30)&gt;0),1,0))+IF(Z30='Resultats Reals'!$C$36,2,IF(OR(Z30='Resultats Reals'!$C$35,COUNTIF('Resultats Reals'!$E$2:$E$33,Z30)&gt;0),1,0))</f>
        <v>16</v>
      </c>
      <c r="BW30">
        <f>IF(AA30='Resultats Reals'!$C$4,IF(COUNTIF('Resultats Reals'!$E$2:$E$33,AA30)&gt;0,2,0.5),IF(OR(AA30='Resultats Reals'!$C$2,AA30='Resultats Reals'!$C$3,COUNTIF('Resultats Reals'!$E$2:$E$33,AA30)&gt;0),1,0))+IF(AB30='Resultats Reals'!$C$7,IF(COUNTIF('Resultats Reals'!$E$2:$E$33,AB30)&gt;0,2,0.5),IF(OR(AB30='Resultats Reals'!$C$5,AB30='Resultats Reals'!$C$6,COUNTIF('Resultats Reals'!$E$2:$E$33,AB30)&gt;0),1,0))+IF(AC30='Resultats Reals'!$C$10,IF(COUNTIF('Resultats Reals'!$E$2:$E$33,AC30)&gt;0,2,0.5),IF(OR(AC30='Resultats Reals'!$C$8,AC30='Resultats Reals'!$C$9,COUNTIF('Resultats Reals'!$E$2:$E$33,AC30)&gt;0),1,0))+IF(AD30='Resultats Reals'!$C$13,IF(COUNTIF('Resultats Reals'!$E$2:$E$33,AD30)&gt;0,2,0.5),IF(OR(AD30='Resultats Reals'!$C$11,AD30='Resultats Reals'!$C$12,COUNTIF('Resultats Reals'!$E$2:$E$33,AD30)&gt;0),1,0))+IF(AE30='Resultats Reals'!$C$16,IF(COUNTIF('Resultats Reals'!$E$2:$E$33,AE30)&gt;0,2,0.5),IF(OR(AE30='Resultats Reals'!$C$14,AE30='Resultats Reals'!$C$15,COUNTIF('Resultats Reals'!$E$2:$E$33,AE30)&gt;0),1,0))+IF(AF30='Resultats Reals'!$C$19,IF(COUNTIF('Resultats Reals'!$E$2:$E$33,AF30)&gt;0,2,0.5),IF(OR(AF30='Resultats Reals'!$C$17,AF30='Resultats Reals'!$C$18,COUNTIF('Resultats Reals'!$E$2:$E$33,AF30)&gt;0),1,0))+IF(AG30='Resultats Reals'!$C$22,IF(COUNTIF('Resultats Reals'!$E$2:$E$33,AG30)&gt;0,2,0.5),IF(OR(AG30='Resultats Reals'!$C$20,AG30='Resultats Reals'!$C$21,COUNTIF('Resultats Reals'!$E$2:$E$33,AG30)&gt;0),1,0))+IF(AH30='Resultats Reals'!$C$25,IF(COUNTIF('Resultats Reals'!$E$2:$E$33,AH30)&gt;0,2,0.5),IF(OR(AH30='Resultats Reals'!$C$23,AH30='Resultats Reals'!$C$24,COUNTIF('Resultats Reals'!$E$2:$E$33,AH30)&gt;0),1,0))+IF(AI30='Resultats Reals'!$C$28,IF(COUNTIF('Resultats Reals'!$E$2:$E$33,AI30)&gt;0,2,0.5),IF(OR(AI30='Resultats Reals'!$C$26,AI30='Resultats Reals'!$C$27,COUNTIF('Resultats Reals'!$E$2:$E$33,AI30)&gt;0),1,0))+IF(AJ30='Resultats Reals'!$C$31,IF(COUNTIF('Resultats Reals'!$E$2:$E$33,AJ30)&gt;0,2,0.5),IF(OR(AJ30='Resultats Reals'!$C$29,AJ30='Resultats Reals'!$C$30,COUNTIF('Resultats Reals'!$E$2:$E$33,AJ30)&gt;0),1,0))+IF(AK30='Resultats Reals'!$C$34,IF(COUNTIF('Resultats Reals'!$E$2:$E$33,AK30)&gt;0,2,0.5),IF(OR(AK30='Resultats Reals'!$C$32,AK30='Resultats Reals'!$C$33,COUNTIF('Resultats Reals'!$E$2:$E$33,AK30)&gt;0),1,0))+IF(AL30='Resultats Reals'!$C$37,IF(COUNTIF('Resultats Reals'!$E$2:$E$33,AL30)&gt;0,2,0.5),IF(OR(AL30='Resultats Reals'!$C$35,AL30='Resultats Reals'!$C$36,COUNTIF('Resultats Reals'!$E$2:$E$33,AL30)&gt;0),1,0))</f>
        <v>10</v>
      </c>
      <c r="BX30">
        <f>IF(COUNTIF('Resultats Reals'!$F$2:$F$17,AM30)&gt;0,1,0)+IF(COUNTIF('Resultats Reals'!$F$2:$F$17,AN30)&gt;0,1,0)+IF(COUNTIF('Resultats Reals'!$F$2:$F$17,AO30)&gt;0,1,0)+IF(COUNTIF('Resultats Reals'!$F$2:$F$17,AP30)&gt;0,1,0)+IF(COUNTIF('Resultats Reals'!$F$2:$F$17,AQ30)&gt;0,1,0)+IF(COUNTIF('Resultats Reals'!$F$2:$F$17,AR30)&gt;0,1,0)+IF(COUNTIF('Resultats Reals'!$F$2:$F$17,AS30)&gt;0,1,0)+IF(COUNTIF('Resultats Reals'!$F$2:$F$17,AT30)&gt;0,1,0)+IF(COUNTIF('Resultats Reals'!$F$2:$F$17,AU30)&gt;0,1,0)+IF(COUNTIF('Resultats Reals'!$F$2:$F$17,AV30)&gt;0,1,0)+IF(COUNTIF('Resultats Reals'!$F$2:$F$17,AW30)&gt;0,1,0)+IF(COUNTIF('Resultats Reals'!$F$2:$F$17,AX30)&gt;0,1,0)+IF(COUNTIF('Resultats Reals'!$F$2:$F$17,AY30)&gt;0,1,0)+IF(COUNTIF('Resultats Reals'!$F$2:$F$17,AZ30)&gt;0,1,0)+IF(COUNTIF('Resultats Reals'!$F$2:$F$17,BA30)&gt;0,1,0)+IF(COUNTIF('Resultats Reals'!$F$2:$F$17,BB30)&gt;0,1,0)</f>
        <v>13</v>
      </c>
      <c r="BY30">
        <f>IF(COUNTIF('Resultats Reals'!$G$2:$G$9,BC30)&gt;0,1,0)+IF(COUNTIF('Resultats Reals'!$G$2:$G$9,BD30)&gt;0,1,0)+IF(COUNTIF('Resultats Reals'!$G$2:$G$9,BE30)&gt;0,1,0)+IF(COUNTIF('Resultats Reals'!$G$2:$G$9,BF30)&gt;0,1,0)+IF(COUNTIF('Resultats Reals'!$G$2:$G$9,BG30)&gt;0,1,0)+IF(COUNTIF('Resultats Reals'!$G$2:$G$9,BH30)&gt;0,1,0)+IF(COUNTIF('Resultats Reals'!$G$2:$G$9,BI30)&gt;0,1,0)+IF(COUNTIF('Resultats Reals'!$G$2:$G$9,BJ30)&gt;0,1,0)</f>
        <v>6</v>
      </c>
      <c r="BZ30">
        <f>IF(COUNTIF('Resultats Reals'!$H$2:$H$5,BK30)&gt;0,1,0)+IF(COUNTIF('Resultats Reals'!$H$2:$H$5,BL30)&gt;0,1,0)+IF(COUNTIF('Resultats Reals'!$H$2:$H$5,BM30)&gt;0,1,0)+IF(COUNTIF('Resultats Reals'!$H$2:$H$5,BN30)&gt;0,1,0)</f>
        <v>3</v>
      </c>
      <c r="CA30">
        <f>IF(COUNTIF('Resultats Reals'!$I$2:$I$3,BO30)&gt;0,3,0)+IF(COUNTIF('Resultats Reals'!$I$2:$I$3,BP30)&gt;0,3,0)</f>
        <v>0</v>
      </c>
      <c r="CB30">
        <f>IF(BQ30='Resultats Reals'!$J$2,5,0)</f>
        <v>0</v>
      </c>
      <c r="CC30">
        <f>IF(BS30='Resultats Reals'!$K$2,5,0)</f>
        <v>0</v>
      </c>
      <c r="CD30">
        <f>IFERROR(VLOOKUP(BT30,'Resultats Reals'!$N$2:$O$100,2,FALSE),0)</f>
        <v>8</v>
      </c>
      <c r="CE30">
        <f>IF(BR30='Resultats Reals'!$L$2,5,0)</f>
        <v>0</v>
      </c>
      <c r="CF30" s="7">
        <f t="shared" si="0"/>
        <v>78</v>
      </c>
    </row>
    <row r="31" spans="1:84" x14ac:dyDescent="0.25">
      <c r="A31" t="s">
        <v>177</v>
      </c>
      <c r="B31" t="s">
        <v>85</v>
      </c>
      <c r="C31" t="s">
        <v>86</v>
      </c>
      <c r="D31" t="s">
        <v>87</v>
      </c>
      <c r="E31" t="s">
        <v>88</v>
      </c>
      <c r="F31" t="s">
        <v>101</v>
      </c>
      <c r="G31" t="s">
        <v>102</v>
      </c>
      <c r="H31" t="s">
        <v>91</v>
      </c>
      <c r="I31" t="s">
        <v>92</v>
      </c>
      <c r="J31" t="s">
        <v>93</v>
      </c>
      <c r="K31" t="s">
        <v>94</v>
      </c>
      <c r="L31" t="s">
        <v>95</v>
      </c>
      <c r="M31" t="s">
        <v>96</v>
      </c>
      <c r="N31" t="s">
        <v>97</v>
      </c>
      <c r="O31" t="s">
        <v>110</v>
      </c>
      <c r="P31" t="s">
        <v>245</v>
      </c>
      <c r="Q31" t="s">
        <v>100</v>
      </c>
      <c r="R31" t="s">
        <v>112</v>
      </c>
      <c r="S31" t="s">
        <v>90</v>
      </c>
      <c r="T31" t="s">
        <v>114</v>
      </c>
      <c r="U31" t="s">
        <v>104</v>
      </c>
      <c r="V31" t="s">
        <v>105</v>
      </c>
      <c r="W31" t="s">
        <v>117</v>
      </c>
      <c r="X31" t="s">
        <v>107</v>
      </c>
      <c r="Y31" t="s">
        <v>108</v>
      </c>
      <c r="Z31" t="s">
        <v>109</v>
      </c>
      <c r="AA31" t="s">
        <v>98</v>
      </c>
      <c r="AB31" t="s">
        <v>99</v>
      </c>
      <c r="AC31" t="s">
        <v>111</v>
      </c>
      <c r="AD31" t="s">
        <v>89</v>
      </c>
      <c r="AE31" t="s">
        <v>113</v>
      </c>
      <c r="AF31" t="s">
        <v>103</v>
      </c>
      <c r="AG31" t="s">
        <v>115</v>
      </c>
      <c r="AH31" t="s">
        <v>116</v>
      </c>
      <c r="AI31" t="s">
        <v>106</v>
      </c>
      <c r="AJ31" t="s">
        <v>118</v>
      </c>
      <c r="AK31" t="s">
        <v>127</v>
      </c>
      <c r="AL31" t="s">
        <v>120</v>
      </c>
      <c r="AM31" t="s">
        <v>102</v>
      </c>
      <c r="AN31" t="s">
        <v>94</v>
      </c>
      <c r="AO31" t="s">
        <v>245</v>
      </c>
      <c r="AP31" t="s">
        <v>91</v>
      </c>
      <c r="AQ31" t="s">
        <v>108</v>
      </c>
      <c r="AR31" t="s">
        <v>93</v>
      </c>
      <c r="AS31" t="s">
        <v>101</v>
      </c>
      <c r="AT31" t="s">
        <v>106</v>
      </c>
      <c r="AU31" t="s">
        <v>88</v>
      </c>
      <c r="AV31" t="s">
        <v>117</v>
      </c>
      <c r="AW31" t="s">
        <v>86</v>
      </c>
      <c r="AX31" t="s">
        <v>97</v>
      </c>
      <c r="AY31" t="s">
        <v>95</v>
      </c>
      <c r="AZ31" t="s">
        <v>112</v>
      </c>
      <c r="BA31" t="s">
        <v>87</v>
      </c>
      <c r="BB31" t="s">
        <v>96</v>
      </c>
      <c r="BC31" t="s">
        <v>94</v>
      </c>
      <c r="BD31" t="s">
        <v>91</v>
      </c>
      <c r="BE31" t="s">
        <v>93</v>
      </c>
      <c r="BF31" t="s">
        <v>106</v>
      </c>
      <c r="BG31" t="s">
        <v>117</v>
      </c>
      <c r="BH31" t="s">
        <v>97</v>
      </c>
      <c r="BI31" t="s">
        <v>95</v>
      </c>
      <c r="BJ31" t="s">
        <v>96</v>
      </c>
      <c r="BK31" t="s">
        <v>94</v>
      </c>
      <c r="BL31" t="s">
        <v>93</v>
      </c>
      <c r="BM31" t="s">
        <v>97</v>
      </c>
      <c r="BN31" t="s">
        <v>96</v>
      </c>
      <c r="BO31" t="s">
        <v>93</v>
      </c>
      <c r="BP31" t="s">
        <v>96</v>
      </c>
      <c r="BQ31" t="s">
        <v>93</v>
      </c>
      <c r="BS31" t="s">
        <v>121</v>
      </c>
      <c r="BT31" t="s">
        <v>122</v>
      </c>
      <c r="BU31">
        <f>IF(C31='Resultats Reals'!$C$2,2,IF(OR(C31='Resultats Reals'!$C$3,COUNTIF('Resultats Reals'!$E$2:$E$33,C31)&gt;0),1,0))+IF(D31='Resultats Reals'!$C$5,2,IF(OR(D31='Resultats Reals'!$C$6,COUNTIF('Resultats Reals'!$E$2:$E$33,D31)&gt;0),1,0))+IF(E31='Resultats Reals'!$C$8,2,IF(OR(E31='Resultats Reals'!$C$9,COUNTIF('Resultats Reals'!$E$2:$E$33,E31)&gt;0),1,0))+IF(F31='Resultats Reals'!$C$11,2,IF(OR(F31='Resultats Reals'!$C$12,COUNTIF('Resultats Reals'!$E$2:$E$33,F31)&gt;0),1,0))+IF(G31='Resultats Reals'!$C$14,2,IF(OR(G31='Resultats Reals'!$C$15,COUNTIF('Resultats Reals'!$E$2:$E$33,G31)&gt;0),1,0))+IF(H31='Resultats Reals'!$C$17,2,IF(OR(H31='Resultats Reals'!$C$18,COUNTIF('Resultats Reals'!$E$2:$E$33,H31)&gt;0),1,0))+IF(I31='Resultats Reals'!$C$20,2,IF(OR(I31='Resultats Reals'!$C$21,COUNTIF('Resultats Reals'!$E$2:$E$33,I31)&gt;0),1,0))+IF(J31='Resultats Reals'!$C$23,2,IF(OR(J31='Resultats Reals'!$C$24,COUNTIF('Resultats Reals'!$E$2:$E$33,J31)&gt;0),1,0))+IF(K31='Resultats Reals'!$C$26,2,IF(OR(K31='Resultats Reals'!$C$27,COUNTIF('Resultats Reals'!$E$2:$E$33,K31)&gt;0),1,0))+IF(L31='Resultats Reals'!$C$29,2,IF(OR(L31='Resultats Reals'!$C$30,COUNTIF('Resultats Reals'!$E$2:$E$33,L31)&gt;0),1,0))+IF(M31='Resultats Reals'!$C$32,2,IF(OR(M31='Resultats Reals'!$C$33,COUNTIF('Resultats Reals'!$E$2:$E$33,M31)&gt;0),1,0))+IF(N31='Resultats Reals'!$C$35,2,IF(OR(N31='Resultats Reals'!$C$36,COUNTIF('Resultats Reals'!$E$2:$E$33,N31)&gt;0),1,0))</f>
        <v>20</v>
      </c>
      <c r="BV31">
        <f>IF(O31='Resultats Reals'!$C$3,2,IF(OR(O31='Resultats Reals'!$C$2,COUNTIF('Resultats Reals'!$E$2:$E$33,O31)&gt;0),1,0))+IF(P31='Resultats Reals'!$C$6,2,IF(OR(P31='Resultats Reals'!$C$5,COUNTIF('Resultats Reals'!$E$2:$E$33,P31)&gt;0),1,0))+IF(Q31='Resultats Reals'!$C$9,2,IF(OR(Q31='Resultats Reals'!$C$8,COUNTIF('Resultats Reals'!$E$2:$E$33,Q31)&gt;0),1,0))+IF(R31='Resultats Reals'!$C$12,2,IF(OR(R31='Resultats Reals'!$C$11,COUNTIF('Resultats Reals'!$E$2:$E$33,R31)&gt;0),1,0))+IF(S31='Resultats Reals'!$C$15,2,IF(OR(S31='Resultats Reals'!$C$14,COUNTIF('Resultats Reals'!$E$2:$E$33,S31)&gt;0),1,0))+IF(T31='Resultats Reals'!$C$18,2,IF(OR(T31='Resultats Reals'!$C$17,COUNTIF('Resultats Reals'!$E$2:$E$33,T31)&gt;0),1,0))+IF(U31='Resultats Reals'!$C$21,2,IF(OR(U31='Resultats Reals'!$C$20,COUNTIF('Resultats Reals'!$E$2:$E$33,U31)&gt;0),1,0))+IF(V31='Resultats Reals'!$C$24,2,IF(OR(V31='Resultats Reals'!$C$23,COUNTIF('Resultats Reals'!$E$2:$E$33,V31)&gt;0),1,0))+IF(W31='Resultats Reals'!$C$27,2,IF(OR(W31='Resultats Reals'!$C$26,COUNTIF('Resultats Reals'!$E$2:$E$33,W31)&gt;0),1,0))+IF(X31='Resultats Reals'!$C$30,2,IF(OR(X31='Resultats Reals'!$C$29,COUNTIF('Resultats Reals'!$E$2:$E$33,X31)&gt;0),1,0))+IF(Y31='Resultats Reals'!$C$33,2,IF(OR(Y31='Resultats Reals'!$C$32,COUNTIF('Resultats Reals'!$E$2:$E$33,Y31)&gt;0),1,0))+IF(Z31='Resultats Reals'!$C$36,2,IF(OR(Z31='Resultats Reals'!$C$35,COUNTIF('Resultats Reals'!$E$2:$E$33,Z31)&gt;0),1,0))</f>
        <v>16</v>
      </c>
      <c r="BW31">
        <f>IF(AA31='Resultats Reals'!$C$4,IF(COUNTIF('Resultats Reals'!$E$2:$E$33,AA31)&gt;0,2,0.5),IF(OR(AA31='Resultats Reals'!$C$2,AA31='Resultats Reals'!$C$3,COUNTIF('Resultats Reals'!$E$2:$E$33,AA31)&gt;0),1,0))+IF(AB31='Resultats Reals'!$C$7,IF(COUNTIF('Resultats Reals'!$E$2:$E$33,AB31)&gt;0,2,0.5),IF(OR(AB31='Resultats Reals'!$C$5,AB31='Resultats Reals'!$C$6,COUNTIF('Resultats Reals'!$E$2:$E$33,AB31)&gt;0),1,0))+IF(AC31='Resultats Reals'!$C$10,IF(COUNTIF('Resultats Reals'!$E$2:$E$33,AC31)&gt;0,2,0.5),IF(OR(AC31='Resultats Reals'!$C$8,AC31='Resultats Reals'!$C$9,COUNTIF('Resultats Reals'!$E$2:$E$33,AC31)&gt;0),1,0))+IF(AD31='Resultats Reals'!$C$13,IF(COUNTIF('Resultats Reals'!$E$2:$E$33,AD31)&gt;0,2,0.5),IF(OR(AD31='Resultats Reals'!$C$11,AD31='Resultats Reals'!$C$12,COUNTIF('Resultats Reals'!$E$2:$E$33,AD31)&gt;0),1,0))+IF(AE31='Resultats Reals'!$C$16,IF(COUNTIF('Resultats Reals'!$E$2:$E$33,AE31)&gt;0,2,0.5),IF(OR(AE31='Resultats Reals'!$C$14,AE31='Resultats Reals'!$C$15,COUNTIF('Resultats Reals'!$E$2:$E$33,AE31)&gt;0),1,0))+IF(AF31='Resultats Reals'!$C$19,IF(COUNTIF('Resultats Reals'!$E$2:$E$33,AF31)&gt;0,2,0.5),IF(OR(AF31='Resultats Reals'!$C$17,AF31='Resultats Reals'!$C$18,COUNTIF('Resultats Reals'!$E$2:$E$33,AF31)&gt;0),1,0))+IF(AG31='Resultats Reals'!$C$22,IF(COUNTIF('Resultats Reals'!$E$2:$E$33,AG31)&gt;0,2,0.5),IF(OR(AG31='Resultats Reals'!$C$20,AG31='Resultats Reals'!$C$21,COUNTIF('Resultats Reals'!$E$2:$E$33,AG31)&gt;0),1,0))+IF(AH31='Resultats Reals'!$C$25,IF(COUNTIF('Resultats Reals'!$E$2:$E$33,AH31)&gt;0,2,0.5),IF(OR(AH31='Resultats Reals'!$C$23,AH31='Resultats Reals'!$C$24,COUNTIF('Resultats Reals'!$E$2:$E$33,AH31)&gt;0),1,0))+IF(AI31='Resultats Reals'!$C$28,IF(COUNTIF('Resultats Reals'!$E$2:$E$33,AI31)&gt;0,2,0.5),IF(OR(AI31='Resultats Reals'!$C$26,AI31='Resultats Reals'!$C$27,COUNTIF('Resultats Reals'!$E$2:$E$33,AI31)&gt;0),1,0))+IF(AJ31='Resultats Reals'!$C$31,IF(COUNTIF('Resultats Reals'!$E$2:$E$33,AJ31)&gt;0,2,0.5),IF(OR(AJ31='Resultats Reals'!$C$29,AJ31='Resultats Reals'!$C$30,COUNTIF('Resultats Reals'!$E$2:$E$33,AJ31)&gt;0),1,0))+IF(AK31='Resultats Reals'!$C$34,IF(COUNTIF('Resultats Reals'!$E$2:$E$33,AK31)&gt;0,2,0.5),IF(OR(AK31='Resultats Reals'!$C$32,AK31='Resultats Reals'!$C$33,COUNTIF('Resultats Reals'!$E$2:$E$33,AK31)&gt;0),1,0))+IF(AL31='Resultats Reals'!$C$37,IF(COUNTIF('Resultats Reals'!$E$2:$E$33,AL31)&gt;0,2,0.5),IF(OR(AL31='Resultats Reals'!$C$35,AL31='Resultats Reals'!$C$36,COUNTIF('Resultats Reals'!$E$2:$E$33,AL31)&gt;0),1,0))</f>
        <v>14.5</v>
      </c>
      <c r="BX31">
        <f>IF(COUNTIF('Resultats Reals'!$F$2:$F$17,AM31)&gt;0,1,0)+IF(COUNTIF('Resultats Reals'!$F$2:$F$17,AN31)&gt;0,1,0)+IF(COUNTIF('Resultats Reals'!$F$2:$F$17,AO31)&gt;0,1,0)+IF(COUNTIF('Resultats Reals'!$F$2:$F$17,AP31)&gt;0,1,0)+IF(COUNTIF('Resultats Reals'!$F$2:$F$17,AQ31)&gt;0,1,0)+IF(COUNTIF('Resultats Reals'!$F$2:$F$17,AR31)&gt;0,1,0)+IF(COUNTIF('Resultats Reals'!$F$2:$F$17,AS31)&gt;0,1,0)+IF(COUNTIF('Resultats Reals'!$F$2:$F$17,AT31)&gt;0,1,0)+IF(COUNTIF('Resultats Reals'!$F$2:$F$17,AU31)&gt;0,1,0)+IF(COUNTIF('Resultats Reals'!$F$2:$F$17,AV31)&gt;0,1,0)+IF(COUNTIF('Resultats Reals'!$F$2:$F$17,AW31)&gt;0,1,0)+IF(COUNTIF('Resultats Reals'!$F$2:$F$17,AX31)&gt;0,1,0)+IF(COUNTIF('Resultats Reals'!$F$2:$F$17,AY31)&gt;0,1,0)+IF(COUNTIF('Resultats Reals'!$F$2:$F$17,AZ31)&gt;0,1,0)+IF(COUNTIF('Resultats Reals'!$F$2:$F$17,BA31)&gt;0,1,0)+IF(COUNTIF('Resultats Reals'!$F$2:$F$17,BB31)&gt;0,1,0)</f>
        <v>11</v>
      </c>
      <c r="BY31">
        <f>IF(COUNTIF('Resultats Reals'!$G$2:$G$9,BC31)&gt;0,1,0)+IF(COUNTIF('Resultats Reals'!$G$2:$G$9,BD31)&gt;0,1,0)+IF(COUNTIF('Resultats Reals'!$G$2:$G$9,BE31)&gt;0,1,0)+IF(COUNTIF('Resultats Reals'!$G$2:$G$9,BF31)&gt;0,1,0)+IF(COUNTIF('Resultats Reals'!$G$2:$G$9,BG31)&gt;0,1,0)+IF(COUNTIF('Resultats Reals'!$G$2:$G$9,BH31)&gt;0,1,0)+IF(COUNTIF('Resultats Reals'!$G$2:$G$9,BI31)&gt;0,1,0)+IF(COUNTIF('Resultats Reals'!$G$2:$G$9,BJ31)&gt;0,1,0)</f>
        <v>5</v>
      </c>
      <c r="BZ31">
        <f>IF(COUNTIF('Resultats Reals'!$H$2:$H$5,BK31)&gt;0,1,0)+IF(COUNTIF('Resultats Reals'!$H$2:$H$5,BL31)&gt;0,1,0)+IF(COUNTIF('Resultats Reals'!$H$2:$H$5,BM31)&gt;0,1,0)+IF(COUNTIF('Resultats Reals'!$H$2:$H$5,BN31)&gt;0,1,0)</f>
        <v>3</v>
      </c>
      <c r="CA31">
        <f>IF(COUNTIF('Resultats Reals'!$I$2:$I$3,BO31)&gt;0,3,0)+IF(COUNTIF('Resultats Reals'!$I$2:$I$3,BP31)&gt;0,3,0)</f>
        <v>0</v>
      </c>
      <c r="CB31">
        <f>IF(BQ31='Resultats Reals'!$J$2,5,0)</f>
        <v>0</v>
      </c>
      <c r="CC31">
        <f>IF(BS31='Resultats Reals'!$K$2,5,0)</f>
        <v>0</v>
      </c>
      <c r="CD31">
        <f>IFERROR(VLOOKUP(BT31,'Resultats Reals'!$N$2:$O$100,2,FALSE),0)</f>
        <v>4</v>
      </c>
      <c r="CE31">
        <f>IF(BR31='Resultats Reals'!$L$2,5,0)</f>
        <v>0</v>
      </c>
      <c r="CF31" s="7">
        <f t="shared" si="0"/>
        <v>73.5</v>
      </c>
    </row>
    <row r="32" spans="1:84" x14ac:dyDescent="0.25">
      <c r="A32" t="s">
        <v>178</v>
      </c>
      <c r="B32" t="s">
        <v>124</v>
      </c>
      <c r="C32" t="s">
        <v>86</v>
      </c>
      <c r="D32" t="s">
        <v>87</v>
      </c>
      <c r="E32" t="s">
        <v>100</v>
      </c>
      <c r="F32" t="s">
        <v>101</v>
      </c>
      <c r="G32" t="s">
        <v>90</v>
      </c>
      <c r="H32" t="s">
        <v>103</v>
      </c>
      <c r="I32" t="s">
        <v>104</v>
      </c>
      <c r="J32" t="s">
        <v>93</v>
      </c>
      <c r="K32" t="s">
        <v>94</v>
      </c>
      <c r="L32" t="s">
        <v>95</v>
      </c>
      <c r="M32" t="s">
        <v>96</v>
      </c>
      <c r="N32" t="s">
        <v>97</v>
      </c>
      <c r="O32" t="s">
        <v>110</v>
      </c>
      <c r="P32" t="s">
        <v>99</v>
      </c>
      <c r="Q32" t="s">
        <v>88</v>
      </c>
      <c r="R32" t="s">
        <v>89</v>
      </c>
      <c r="S32" t="s">
        <v>102</v>
      </c>
      <c r="T32" t="s">
        <v>91</v>
      </c>
      <c r="U32" t="s">
        <v>92</v>
      </c>
      <c r="V32" t="s">
        <v>105</v>
      </c>
      <c r="W32" t="s">
        <v>117</v>
      </c>
      <c r="X32" t="s">
        <v>107</v>
      </c>
      <c r="Y32" t="s">
        <v>108</v>
      </c>
      <c r="Z32" t="s">
        <v>109</v>
      </c>
      <c r="AA32" t="s">
        <v>98</v>
      </c>
      <c r="AB32" t="s">
        <v>125</v>
      </c>
      <c r="AC32" t="s">
        <v>111</v>
      </c>
      <c r="AD32" t="s">
        <v>112</v>
      </c>
      <c r="AE32" t="s">
        <v>113</v>
      </c>
      <c r="AF32" t="s">
        <v>114</v>
      </c>
      <c r="AG32" t="s">
        <v>115</v>
      </c>
      <c r="AH32" t="s">
        <v>116</v>
      </c>
      <c r="AI32" t="s">
        <v>106</v>
      </c>
      <c r="AJ32" t="s">
        <v>118</v>
      </c>
      <c r="AK32" t="s">
        <v>127</v>
      </c>
      <c r="AL32" t="s">
        <v>120</v>
      </c>
      <c r="AM32" t="s">
        <v>93</v>
      </c>
      <c r="AN32" t="s">
        <v>94</v>
      </c>
      <c r="AO32" t="s">
        <v>97</v>
      </c>
      <c r="AP32" t="s">
        <v>88</v>
      </c>
      <c r="AQ32" t="s">
        <v>96</v>
      </c>
      <c r="AR32" t="s">
        <v>95</v>
      </c>
      <c r="AS32" t="s">
        <v>90</v>
      </c>
      <c r="AT32" t="s">
        <v>91</v>
      </c>
      <c r="AU32" t="s">
        <v>101</v>
      </c>
      <c r="AV32" t="s">
        <v>108</v>
      </c>
      <c r="AW32" t="s">
        <v>105</v>
      </c>
      <c r="AX32" t="s">
        <v>100</v>
      </c>
      <c r="AY32" t="s">
        <v>89</v>
      </c>
      <c r="AZ32" t="s">
        <v>103</v>
      </c>
      <c r="BA32" t="s">
        <v>86</v>
      </c>
      <c r="BB32" t="s">
        <v>109</v>
      </c>
      <c r="BC32" t="s">
        <v>93</v>
      </c>
      <c r="BD32" t="s">
        <v>94</v>
      </c>
      <c r="BE32" t="s">
        <v>97</v>
      </c>
      <c r="BF32" t="s">
        <v>88</v>
      </c>
      <c r="BG32" t="s">
        <v>96</v>
      </c>
      <c r="BH32" t="s">
        <v>95</v>
      </c>
      <c r="BI32" t="s">
        <v>108</v>
      </c>
      <c r="BJ32" t="s">
        <v>100</v>
      </c>
      <c r="BK32" t="s">
        <v>93</v>
      </c>
      <c r="BL32" t="s">
        <v>94</v>
      </c>
      <c r="BM32" t="s">
        <v>95</v>
      </c>
      <c r="BN32" t="s">
        <v>100</v>
      </c>
      <c r="BO32" t="s">
        <v>95</v>
      </c>
      <c r="BP32" t="s">
        <v>94</v>
      </c>
      <c r="BQ32" t="s">
        <v>94</v>
      </c>
      <c r="BS32" t="s">
        <v>179</v>
      </c>
      <c r="BT32" t="s">
        <v>128</v>
      </c>
      <c r="BU32">
        <f>IF(C32='Resultats Reals'!$C$2,2,IF(OR(C32='Resultats Reals'!$C$3,COUNTIF('Resultats Reals'!$E$2:$E$33,C32)&gt;0),1,0))+IF(D32='Resultats Reals'!$C$5,2,IF(OR(D32='Resultats Reals'!$C$6,COUNTIF('Resultats Reals'!$E$2:$E$33,D32)&gt;0),1,0))+IF(E32='Resultats Reals'!$C$8,2,IF(OR(E32='Resultats Reals'!$C$9,COUNTIF('Resultats Reals'!$E$2:$E$33,E32)&gt;0),1,0))+IF(F32='Resultats Reals'!$C$11,2,IF(OR(F32='Resultats Reals'!$C$12,COUNTIF('Resultats Reals'!$E$2:$E$33,F32)&gt;0),1,0))+IF(G32='Resultats Reals'!$C$14,2,IF(OR(G32='Resultats Reals'!$C$15,COUNTIF('Resultats Reals'!$E$2:$E$33,G32)&gt;0),1,0))+IF(H32='Resultats Reals'!$C$17,2,IF(OR(H32='Resultats Reals'!$C$18,COUNTIF('Resultats Reals'!$E$2:$E$33,H32)&gt;0),1,0))+IF(I32='Resultats Reals'!$C$20,2,IF(OR(I32='Resultats Reals'!$C$21,COUNTIF('Resultats Reals'!$E$2:$E$33,I32)&gt;0),1,0))+IF(J32='Resultats Reals'!$C$23,2,IF(OR(J32='Resultats Reals'!$C$24,COUNTIF('Resultats Reals'!$E$2:$E$33,J32)&gt;0),1,0))+IF(K32='Resultats Reals'!$C$26,2,IF(OR(K32='Resultats Reals'!$C$27,COUNTIF('Resultats Reals'!$E$2:$E$33,K32)&gt;0),1,0))+IF(L32='Resultats Reals'!$C$29,2,IF(OR(L32='Resultats Reals'!$C$30,COUNTIF('Resultats Reals'!$E$2:$E$33,L32)&gt;0),1,0))+IF(M32='Resultats Reals'!$C$32,2,IF(OR(M32='Resultats Reals'!$C$33,COUNTIF('Resultats Reals'!$E$2:$E$33,M32)&gt;0),1,0))+IF(N32='Resultats Reals'!$C$35,2,IF(OR(N32='Resultats Reals'!$C$36,COUNTIF('Resultats Reals'!$E$2:$E$33,N32)&gt;0),1,0))</f>
        <v>18</v>
      </c>
      <c r="BV32">
        <f>IF(O32='Resultats Reals'!$C$3,2,IF(OR(O32='Resultats Reals'!$C$2,COUNTIF('Resultats Reals'!$E$2:$E$33,O32)&gt;0),1,0))+IF(P32='Resultats Reals'!$C$6,2,IF(OR(P32='Resultats Reals'!$C$5,COUNTIF('Resultats Reals'!$E$2:$E$33,P32)&gt;0),1,0))+IF(Q32='Resultats Reals'!$C$9,2,IF(OR(Q32='Resultats Reals'!$C$8,COUNTIF('Resultats Reals'!$E$2:$E$33,Q32)&gt;0),1,0))+IF(R32='Resultats Reals'!$C$12,2,IF(OR(R32='Resultats Reals'!$C$11,COUNTIF('Resultats Reals'!$E$2:$E$33,R32)&gt;0),1,0))+IF(S32='Resultats Reals'!$C$15,2,IF(OR(S32='Resultats Reals'!$C$14,COUNTIF('Resultats Reals'!$E$2:$E$33,S32)&gt;0),1,0))+IF(T32='Resultats Reals'!$C$18,2,IF(OR(T32='Resultats Reals'!$C$17,COUNTIF('Resultats Reals'!$E$2:$E$33,T32)&gt;0),1,0))+IF(U32='Resultats Reals'!$C$21,2,IF(OR(U32='Resultats Reals'!$C$20,COUNTIF('Resultats Reals'!$E$2:$E$33,U32)&gt;0),1,0))+IF(V32='Resultats Reals'!$C$24,2,IF(OR(V32='Resultats Reals'!$C$23,COUNTIF('Resultats Reals'!$E$2:$E$33,V32)&gt;0),1,0))+IF(W32='Resultats Reals'!$C$27,2,IF(OR(W32='Resultats Reals'!$C$26,COUNTIF('Resultats Reals'!$E$2:$E$33,W32)&gt;0),1,0))+IF(X32='Resultats Reals'!$C$30,2,IF(OR(X32='Resultats Reals'!$C$29,COUNTIF('Resultats Reals'!$E$2:$E$33,X32)&gt;0),1,0))+IF(Y32='Resultats Reals'!$C$33,2,IF(OR(Y32='Resultats Reals'!$C$32,COUNTIF('Resultats Reals'!$E$2:$E$33,Y32)&gt;0),1,0))+IF(Z32='Resultats Reals'!$C$36,2,IF(OR(Z32='Resultats Reals'!$C$35,COUNTIF('Resultats Reals'!$E$2:$E$33,Z32)&gt;0),1,0))</f>
        <v>14</v>
      </c>
      <c r="BW32">
        <f>IF(AA32='Resultats Reals'!$C$4,IF(COUNTIF('Resultats Reals'!$E$2:$E$33,AA32)&gt;0,2,0.5),IF(OR(AA32='Resultats Reals'!$C$2,AA32='Resultats Reals'!$C$3,COUNTIF('Resultats Reals'!$E$2:$E$33,AA32)&gt;0),1,0))+IF(AB32='Resultats Reals'!$C$7,IF(COUNTIF('Resultats Reals'!$E$2:$E$33,AB32)&gt;0,2,0.5),IF(OR(AB32='Resultats Reals'!$C$5,AB32='Resultats Reals'!$C$6,COUNTIF('Resultats Reals'!$E$2:$E$33,AB32)&gt;0),1,0))+IF(AC32='Resultats Reals'!$C$10,IF(COUNTIF('Resultats Reals'!$E$2:$E$33,AC32)&gt;0,2,0.5),IF(OR(AC32='Resultats Reals'!$C$8,AC32='Resultats Reals'!$C$9,COUNTIF('Resultats Reals'!$E$2:$E$33,AC32)&gt;0),1,0))+IF(AD32='Resultats Reals'!$C$13,IF(COUNTIF('Resultats Reals'!$E$2:$E$33,AD32)&gt;0,2,0.5),IF(OR(AD32='Resultats Reals'!$C$11,AD32='Resultats Reals'!$C$12,COUNTIF('Resultats Reals'!$E$2:$E$33,AD32)&gt;0),1,0))+IF(AE32='Resultats Reals'!$C$16,IF(COUNTIF('Resultats Reals'!$E$2:$E$33,AE32)&gt;0,2,0.5),IF(OR(AE32='Resultats Reals'!$C$14,AE32='Resultats Reals'!$C$15,COUNTIF('Resultats Reals'!$E$2:$E$33,AE32)&gt;0),1,0))+IF(AF32='Resultats Reals'!$C$19,IF(COUNTIF('Resultats Reals'!$E$2:$E$33,AF32)&gt;0,2,0.5),IF(OR(AF32='Resultats Reals'!$C$17,AF32='Resultats Reals'!$C$18,COUNTIF('Resultats Reals'!$E$2:$E$33,AF32)&gt;0),1,0))+IF(AG32='Resultats Reals'!$C$22,IF(COUNTIF('Resultats Reals'!$E$2:$E$33,AG32)&gt;0,2,0.5),IF(OR(AG32='Resultats Reals'!$C$20,AG32='Resultats Reals'!$C$21,COUNTIF('Resultats Reals'!$E$2:$E$33,AG32)&gt;0),1,0))+IF(AH32='Resultats Reals'!$C$25,IF(COUNTIF('Resultats Reals'!$E$2:$E$33,AH32)&gt;0,2,0.5),IF(OR(AH32='Resultats Reals'!$C$23,AH32='Resultats Reals'!$C$24,COUNTIF('Resultats Reals'!$E$2:$E$33,AH32)&gt;0),1,0))+IF(AI32='Resultats Reals'!$C$28,IF(COUNTIF('Resultats Reals'!$E$2:$E$33,AI32)&gt;0,2,0.5),IF(OR(AI32='Resultats Reals'!$C$26,AI32='Resultats Reals'!$C$27,COUNTIF('Resultats Reals'!$E$2:$E$33,AI32)&gt;0),1,0))+IF(AJ32='Resultats Reals'!$C$31,IF(COUNTIF('Resultats Reals'!$E$2:$E$33,AJ32)&gt;0,2,0.5),IF(OR(AJ32='Resultats Reals'!$C$29,AJ32='Resultats Reals'!$C$30,COUNTIF('Resultats Reals'!$E$2:$E$33,AJ32)&gt;0),1,0))+IF(AK32='Resultats Reals'!$C$34,IF(COUNTIF('Resultats Reals'!$E$2:$E$33,AK32)&gt;0,2,0.5),IF(OR(AK32='Resultats Reals'!$C$32,AK32='Resultats Reals'!$C$33,COUNTIF('Resultats Reals'!$E$2:$E$33,AK32)&gt;0),1,0))+IF(AL32='Resultats Reals'!$C$37,IF(COUNTIF('Resultats Reals'!$E$2:$E$33,AL32)&gt;0,2,0.5),IF(OR(AL32='Resultats Reals'!$C$35,AL32='Resultats Reals'!$C$36,COUNTIF('Resultats Reals'!$E$2:$E$33,AL32)&gt;0),1,0))</f>
        <v>13.5</v>
      </c>
      <c r="BX32">
        <f>IF(COUNTIF('Resultats Reals'!$F$2:$F$17,AM32)&gt;0,1,0)+IF(COUNTIF('Resultats Reals'!$F$2:$F$17,AN32)&gt;0,1,0)+IF(COUNTIF('Resultats Reals'!$F$2:$F$17,AO32)&gt;0,1,0)+IF(COUNTIF('Resultats Reals'!$F$2:$F$17,AP32)&gt;0,1,0)+IF(COUNTIF('Resultats Reals'!$F$2:$F$17,AQ32)&gt;0,1,0)+IF(COUNTIF('Resultats Reals'!$F$2:$F$17,AR32)&gt;0,1,0)+IF(COUNTIF('Resultats Reals'!$F$2:$F$17,AS32)&gt;0,1,0)+IF(COUNTIF('Resultats Reals'!$F$2:$F$17,AT32)&gt;0,1,0)+IF(COUNTIF('Resultats Reals'!$F$2:$F$17,AU32)&gt;0,1,0)+IF(COUNTIF('Resultats Reals'!$F$2:$F$17,AV32)&gt;0,1,0)+IF(COUNTIF('Resultats Reals'!$F$2:$F$17,AW32)&gt;0,1,0)+IF(COUNTIF('Resultats Reals'!$F$2:$F$17,AX32)&gt;0,1,0)+IF(COUNTIF('Resultats Reals'!$F$2:$F$17,AY32)&gt;0,1,0)+IF(COUNTIF('Resultats Reals'!$F$2:$F$17,AZ32)&gt;0,1,0)+IF(COUNTIF('Resultats Reals'!$F$2:$F$17,BA32)&gt;0,1,0)+IF(COUNTIF('Resultats Reals'!$F$2:$F$17,BB32)&gt;0,1,0)</f>
        <v>10</v>
      </c>
      <c r="BY32">
        <f>IF(COUNTIF('Resultats Reals'!$G$2:$G$9,BC32)&gt;0,1,0)+IF(COUNTIF('Resultats Reals'!$G$2:$G$9,BD32)&gt;0,1,0)+IF(COUNTIF('Resultats Reals'!$G$2:$G$9,BE32)&gt;0,1,0)+IF(COUNTIF('Resultats Reals'!$G$2:$G$9,BF32)&gt;0,1,0)+IF(COUNTIF('Resultats Reals'!$G$2:$G$9,BG32)&gt;0,1,0)+IF(COUNTIF('Resultats Reals'!$G$2:$G$9,BH32)&gt;0,1,0)+IF(COUNTIF('Resultats Reals'!$G$2:$G$9,BI32)&gt;0,1,0)+IF(COUNTIF('Resultats Reals'!$G$2:$G$9,BJ32)&gt;0,1,0)</f>
        <v>5</v>
      </c>
      <c r="BZ32">
        <f>IF(COUNTIF('Resultats Reals'!$H$2:$H$5,BK32)&gt;0,1,0)+IF(COUNTIF('Resultats Reals'!$H$2:$H$5,BL32)&gt;0,1,0)+IF(COUNTIF('Resultats Reals'!$H$2:$H$5,BM32)&gt;0,1,0)+IF(COUNTIF('Resultats Reals'!$H$2:$H$5,BN32)&gt;0,1,0)</f>
        <v>3</v>
      </c>
      <c r="CA32">
        <f>IF(COUNTIF('Resultats Reals'!$I$2:$I$3,BO32)&gt;0,3,0)+IF(COUNTIF('Resultats Reals'!$I$2:$I$3,BP32)&gt;0,3,0)</f>
        <v>0</v>
      </c>
      <c r="CB32">
        <f>IF(BQ32='Resultats Reals'!$J$2,5,0)</f>
        <v>0</v>
      </c>
      <c r="CC32">
        <f>IF(BS32='Resultats Reals'!$K$2,5,0)</f>
        <v>0</v>
      </c>
      <c r="CD32">
        <f>IFERROR(VLOOKUP(BT32,'Resultats Reals'!$N$2:$O$100,2,FALSE),0)</f>
        <v>8</v>
      </c>
      <c r="CE32">
        <f>IF(BR32='Resultats Reals'!$L$2,5,0)</f>
        <v>0</v>
      </c>
      <c r="CF32" s="7">
        <f t="shared" si="0"/>
        <v>71.5</v>
      </c>
    </row>
    <row r="33" spans="1:84" x14ac:dyDescent="0.25">
      <c r="A33" t="s">
        <v>191</v>
      </c>
      <c r="B33" t="s">
        <v>85</v>
      </c>
      <c r="C33" t="s">
        <v>86</v>
      </c>
      <c r="D33" t="s">
        <v>87</v>
      </c>
      <c r="E33" t="s">
        <v>100</v>
      </c>
      <c r="F33" t="s">
        <v>101</v>
      </c>
      <c r="G33" t="s">
        <v>90</v>
      </c>
      <c r="H33" t="s">
        <v>91</v>
      </c>
      <c r="I33" t="s">
        <v>92</v>
      </c>
      <c r="J33" t="s">
        <v>93</v>
      </c>
      <c r="K33" t="s">
        <v>94</v>
      </c>
      <c r="L33" t="s">
        <v>95</v>
      </c>
      <c r="M33" t="s">
        <v>96</v>
      </c>
      <c r="N33" t="s">
        <v>97</v>
      </c>
      <c r="O33" t="s">
        <v>98</v>
      </c>
      <c r="P33" t="s">
        <v>99</v>
      </c>
      <c r="Q33" t="s">
        <v>88</v>
      </c>
      <c r="R33" t="s">
        <v>89</v>
      </c>
      <c r="S33" t="s">
        <v>113</v>
      </c>
      <c r="T33" t="s">
        <v>114</v>
      </c>
      <c r="U33" t="s">
        <v>104</v>
      </c>
      <c r="V33" t="s">
        <v>105</v>
      </c>
      <c r="W33" t="s">
        <v>106</v>
      </c>
      <c r="X33" t="s">
        <v>118</v>
      </c>
      <c r="Y33" t="s">
        <v>108</v>
      </c>
      <c r="Z33" t="s">
        <v>109</v>
      </c>
      <c r="AA33" t="s">
        <v>110</v>
      </c>
      <c r="AB33" t="s">
        <v>245</v>
      </c>
      <c r="AC33" t="s">
        <v>111</v>
      </c>
      <c r="AD33" t="s">
        <v>112</v>
      </c>
      <c r="AE33" t="s">
        <v>102</v>
      </c>
      <c r="AF33" t="s">
        <v>103</v>
      </c>
      <c r="AG33" t="s">
        <v>115</v>
      </c>
      <c r="AH33" t="s">
        <v>116</v>
      </c>
      <c r="AI33" t="s">
        <v>117</v>
      </c>
      <c r="AJ33" t="s">
        <v>107</v>
      </c>
      <c r="AK33" t="s">
        <v>127</v>
      </c>
      <c r="AL33" t="s">
        <v>120</v>
      </c>
      <c r="AM33" t="s">
        <v>99</v>
      </c>
      <c r="AN33" t="s">
        <v>100</v>
      </c>
      <c r="AO33" t="s">
        <v>90</v>
      </c>
      <c r="AP33" t="s">
        <v>88</v>
      </c>
      <c r="AQ33" t="s">
        <v>113</v>
      </c>
      <c r="AR33" t="s">
        <v>94</v>
      </c>
      <c r="AS33" t="s">
        <v>117</v>
      </c>
      <c r="AT33" t="s">
        <v>97</v>
      </c>
      <c r="AU33" t="s">
        <v>92</v>
      </c>
      <c r="AV33" t="s">
        <v>101</v>
      </c>
      <c r="AW33" t="s">
        <v>93</v>
      </c>
      <c r="AX33" t="s">
        <v>108</v>
      </c>
      <c r="AY33" t="s">
        <v>87</v>
      </c>
      <c r="AZ33" t="s">
        <v>89</v>
      </c>
      <c r="BA33" t="s">
        <v>95</v>
      </c>
      <c r="BB33" t="s">
        <v>96</v>
      </c>
      <c r="BC33" t="s">
        <v>90</v>
      </c>
      <c r="BD33" t="s">
        <v>100</v>
      </c>
      <c r="BE33" t="s">
        <v>94</v>
      </c>
      <c r="BF33" t="s">
        <v>97</v>
      </c>
      <c r="BG33" t="s">
        <v>93</v>
      </c>
      <c r="BH33" t="s">
        <v>92</v>
      </c>
      <c r="BI33" t="s">
        <v>96</v>
      </c>
      <c r="BJ33" t="s">
        <v>95</v>
      </c>
      <c r="BK33" t="s">
        <v>90</v>
      </c>
      <c r="BL33" t="s">
        <v>93</v>
      </c>
      <c r="BM33" t="s">
        <v>94</v>
      </c>
      <c r="BN33" t="s">
        <v>96</v>
      </c>
      <c r="BO33" t="s">
        <v>93</v>
      </c>
      <c r="BP33" t="s">
        <v>94</v>
      </c>
      <c r="BQ33" t="s">
        <v>93</v>
      </c>
      <c r="BS33" t="s">
        <v>121</v>
      </c>
      <c r="BT33" t="s">
        <v>154</v>
      </c>
      <c r="BU33">
        <f>IF(C33='Resultats Reals'!$C$2,2,IF(OR(C33='Resultats Reals'!$C$3,COUNTIF('Resultats Reals'!$E$2:$E$33,C33)&gt;0),1,0))+IF(D33='Resultats Reals'!$C$5,2,IF(OR(D33='Resultats Reals'!$C$6,COUNTIF('Resultats Reals'!$E$2:$E$33,D33)&gt;0),1,0))+IF(E33='Resultats Reals'!$C$8,2,IF(OR(E33='Resultats Reals'!$C$9,COUNTIF('Resultats Reals'!$E$2:$E$33,E33)&gt;0),1,0))+IF(F33='Resultats Reals'!$C$11,2,IF(OR(F33='Resultats Reals'!$C$12,COUNTIF('Resultats Reals'!$E$2:$E$33,F33)&gt;0),1,0))+IF(G33='Resultats Reals'!$C$14,2,IF(OR(G33='Resultats Reals'!$C$15,COUNTIF('Resultats Reals'!$E$2:$E$33,G33)&gt;0),1,0))+IF(H33='Resultats Reals'!$C$17,2,IF(OR(H33='Resultats Reals'!$C$18,COUNTIF('Resultats Reals'!$E$2:$E$33,H33)&gt;0),1,0))+IF(I33='Resultats Reals'!$C$20,2,IF(OR(I33='Resultats Reals'!$C$21,COUNTIF('Resultats Reals'!$E$2:$E$33,I33)&gt;0),1,0))+IF(J33='Resultats Reals'!$C$23,2,IF(OR(J33='Resultats Reals'!$C$24,COUNTIF('Resultats Reals'!$E$2:$E$33,J33)&gt;0),1,0))+IF(K33='Resultats Reals'!$C$26,2,IF(OR(K33='Resultats Reals'!$C$27,COUNTIF('Resultats Reals'!$E$2:$E$33,K33)&gt;0),1,0))+IF(L33='Resultats Reals'!$C$29,2,IF(OR(L33='Resultats Reals'!$C$30,COUNTIF('Resultats Reals'!$E$2:$E$33,L33)&gt;0),1,0))+IF(M33='Resultats Reals'!$C$32,2,IF(OR(M33='Resultats Reals'!$C$33,COUNTIF('Resultats Reals'!$E$2:$E$33,M33)&gt;0),1,0))+IF(N33='Resultats Reals'!$C$35,2,IF(OR(N33='Resultats Reals'!$C$36,COUNTIF('Resultats Reals'!$E$2:$E$33,N33)&gt;0),1,0))</f>
        <v>20</v>
      </c>
      <c r="BV33">
        <f>IF(O33='Resultats Reals'!$C$3,2,IF(OR(O33='Resultats Reals'!$C$2,COUNTIF('Resultats Reals'!$E$2:$E$33,O33)&gt;0),1,0))+IF(P33='Resultats Reals'!$C$6,2,IF(OR(P33='Resultats Reals'!$C$5,COUNTIF('Resultats Reals'!$E$2:$E$33,P33)&gt;0),1,0))+IF(Q33='Resultats Reals'!$C$9,2,IF(OR(Q33='Resultats Reals'!$C$8,COUNTIF('Resultats Reals'!$E$2:$E$33,Q33)&gt;0),1,0))+IF(R33='Resultats Reals'!$C$12,2,IF(OR(R33='Resultats Reals'!$C$11,COUNTIF('Resultats Reals'!$E$2:$E$33,R33)&gt;0),1,0))+IF(S33='Resultats Reals'!$C$15,2,IF(OR(S33='Resultats Reals'!$C$14,COUNTIF('Resultats Reals'!$E$2:$E$33,S33)&gt;0),1,0))+IF(T33='Resultats Reals'!$C$18,2,IF(OR(T33='Resultats Reals'!$C$17,COUNTIF('Resultats Reals'!$E$2:$E$33,T33)&gt;0),1,0))+IF(U33='Resultats Reals'!$C$21,2,IF(OR(U33='Resultats Reals'!$C$20,COUNTIF('Resultats Reals'!$E$2:$E$33,U33)&gt;0),1,0))+IF(V33='Resultats Reals'!$C$24,2,IF(OR(V33='Resultats Reals'!$C$23,COUNTIF('Resultats Reals'!$E$2:$E$33,V33)&gt;0),1,0))+IF(W33='Resultats Reals'!$C$27,2,IF(OR(W33='Resultats Reals'!$C$26,COUNTIF('Resultats Reals'!$E$2:$E$33,W33)&gt;0),1,0))+IF(X33='Resultats Reals'!$C$30,2,IF(OR(X33='Resultats Reals'!$C$29,COUNTIF('Resultats Reals'!$E$2:$E$33,X33)&gt;0),1,0))+IF(Y33='Resultats Reals'!$C$33,2,IF(OR(Y33='Resultats Reals'!$C$32,COUNTIF('Resultats Reals'!$E$2:$E$33,Y33)&gt;0),1,0))+IF(Z33='Resultats Reals'!$C$36,2,IF(OR(Z33='Resultats Reals'!$C$35,COUNTIF('Resultats Reals'!$E$2:$E$33,Z33)&gt;0),1,0))</f>
        <v>15</v>
      </c>
      <c r="BW33">
        <f>IF(AA33='Resultats Reals'!$C$4,IF(COUNTIF('Resultats Reals'!$E$2:$E$33,AA33)&gt;0,2,0.5),IF(OR(AA33='Resultats Reals'!$C$2,AA33='Resultats Reals'!$C$3,COUNTIF('Resultats Reals'!$E$2:$E$33,AA33)&gt;0),1,0))+IF(AB33='Resultats Reals'!$C$7,IF(COUNTIF('Resultats Reals'!$E$2:$E$33,AB33)&gt;0,2,0.5),IF(OR(AB33='Resultats Reals'!$C$5,AB33='Resultats Reals'!$C$6,COUNTIF('Resultats Reals'!$E$2:$E$33,AB33)&gt;0),1,0))+IF(AC33='Resultats Reals'!$C$10,IF(COUNTIF('Resultats Reals'!$E$2:$E$33,AC33)&gt;0,2,0.5),IF(OR(AC33='Resultats Reals'!$C$8,AC33='Resultats Reals'!$C$9,COUNTIF('Resultats Reals'!$E$2:$E$33,AC33)&gt;0),1,0))+IF(AD33='Resultats Reals'!$C$13,IF(COUNTIF('Resultats Reals'!$E$2:$E$33,AD33)&gt;0,2,0.5),IF(OR(AD33='Resultats Reals'!$C$11,AD33='Resultats Reals'!$C$12,COUNTIF('Resultats Reals'!$E$2:$E$33,AD33)&gt;0),1,0))+IF(AE33='Resultats Reals'!$C$16,IF(COUNTIF('Resultats Reals'!$E$2:$E$33,AE33)&gt;0,2,0.5),IF(OR(AE33='Resultats Reals'!$C$14,AE33='Resultats Reals'!$C$15,COUNTIF('Resultats Reals'!$E$2:$E$33,AE33)&gt;0),1,0))+IF(AF33='Resultats Reals'!$C$19,IF(COUNTIF('Resultats Reals'!$E$2:$E$33,AF33)&gt;0,2,0.5),IF(OR(AF33='Resultats Reals'!$C$17,AF33='Resultats Reals'!$C$18,COUNTIF('Resultats Reals'!$E$2:$E$33,AF33)&gt;0),1,0))+IF(AG33='Resultats Reals'!$C$22,IF(COUNTIF('Resultats Reals'!$E$2:$E$33,AG33)&gt;0,2,0.5),IF(OR(AG33='Resultats Reals'!$C$20,AG33='Resultats Reals'!$C$21,COUNTIF('Resultats Reals'!$E$2:$E$33,AG33)&gt;0),1,0))+IF(AH33='Resultats Reals'!$C$25,IF(COUNTIF('Resultats Reals'!$E$2:$E$33,AH33)&gt;0,2,0.5),IF(OR(AH33='Resultats Reals'!$C$23,AH33='Resultats Reals'!$C$24,COUNTIF('Resultats Reals'!$E$2:$E$33,AH33)&gt;0),1,0))+IF(AI33='Resultats Reals'!$C$28,IF(COUNTIF('Resultats Reals'!$E$2:$E$33,AI33)&gt;0,2,0.5),IF(OR(AI33='Resultats Reals'!$C$26,AI33='Resultats Reals'!$C$27,COUNTIF('Resultats Reals'!$E$2:$E$33,AI33)&gt;0),1,0))+IF(AJ33='Resultats Reals'!$C$31,IF(COUNTIF('Resultats Reals'!$E$2:$E$33,AJ33)&gt;0,2,0.5),IF(OR(AJ33='Resultats Reals'!$C$29,AJ33='Resultats Reals'!$C$30,COUNTIF('Resultats Reals'!$E$2:$E$33,AJ33)&gt;0),1,0))+IF(AK33='Resultats Reals'!$C$34,IF(COUNTIF('Resultats Reals'!$E$2:$E$33,AK33)&gt;0,2,0.5),IF(OR(AK33='Resultats Reals'!$C$32,AK33='Resultats Reals'!$C$33,COUNTIF('Resultats Reals'!$E$2:$E$33,AK33)&gt;0),1,0))+IF(AL33='Resultats Reals'!$C$37,IF(COUNTIF('Resultats Reals'!$E$2:$E$33,AL33)&gt;0,2,0.5),IF(OR(AL33='Resultats Reals'!$C$35,AL33='Resultats Reals'!$C$36,COUNTIF('Resultats Reals'!$E$2:$E$33,AL33)&gt;0),1,0))</f>
        <v>15</v>
      </c>
      <c r="BX33">
        <f>IF(COUNTIF('Resultats Reals'!$F$2:$F$17,AM33)&gt;0,1,0)+IF(COUNTIF('Resultats Reals'!$F$2:$F$17,AN33)&gt;0,1,0)+IF(COUNTIF('Resultats Reals'!$F$2:$F$17,AO33)&gt;0,1,0)+IF(COUNTIF('Resultats Reals'!$F$2:$F$17,AP33)&gt;0,1,0)+IF(COUNTIF('Resultats Reals'!$F$2:$F$17,AQ33)&gt;0,1,0)+IF(COUNTIF('Resultats Reals'!$F$2:$F$17,AR33)&gt;0,1,0)+IF(COUNTIF('Resultats Reals'!$F$2:$F$17,AS33)&gt;0,1,0)+IF(COUNTIF('Resultats Reals'!$F$2:$F$17,AT33)&gt;0,1,0)+IF(COUNTIF('Resultats Reals'!$F$2:$F$17,AU33)&gt;0,1,0)+IF(COUNTIF('Resultats Reals'!$F$2:$F$17,AV33)&gt;0,1,0)+IF(COUNTIF('Resultats Reals'!$F$2:$F$17,AW33)&gt;0,1,0)+IF(COUNTIF('Resultats Reals'!$F$2:$F$17,AX33)&gt;0,1,0)+IF(COUNTIF('Resultats Reals'!$F$2:$F$17,AY33)&gt;0,1,0)+IF(COUNTIF('Resultats Reals'!$F$2:$F$17,AZ33)&gt;0,1,0)+IF(COUNTIF('Resultats Reals'!$F$2:$F$17,BA33)&gt;0,1,0)+IF(COUNTIF('Resultats Reals'!$F$2:$F$17,BB33)&gt;0,1,0)</f>
        <v>13</v>
      </c>
      <c r="BY33">
        <f>IF(COUNTIF('Resultats Reals'!$G$2:$G$9,BC33)&gt;0,1,0)+IF(COUNTIF('Resultats Reals'!$G$2:$G$9,BD33)&gt;0,1,0)+IF(COUNTIF('Resultats Reals'!$G$2:$G$9,BE33)&gt;0,1,0)+IF(COUNTIF('Resultats Reals'!$G$2:$G$9,BF33)&gt;0,1,0)+IF(COUNTIF('Resultats Reals'!$G$2:$G$9,BG33)&gt;0,1,0)+IF(COUNTIF('Resultats Reals'!$G$2:$G$9,BH33)&gt;0,1,0)+IF(COUNTIF('Resultats Reals'!$G$2:$G$9,BI33)&gt;0,1,0)+IF(COUNTIF('Resultats Reals'!$G$2:$G$9,BJ33)&gt;0,1,0)</f>
        <v>6</v>
      </c>
      <c r="BZ33">
        <f>IF(COUNTIF('Resultats Reals'!$H$2:$H$5,BK33)&gt;0,1,0)+IF(COUNTIF('Resultats Reals'!$H$2:$H$5,BL33)&gt;0,1,0)+IF(COUNTIF('Resultats Reals'!$H$2:$H$5,BM33)&gt;0,1,0)+IF(COUNTIF('Resultats Reals'!$H$2:$H$5,BN33)&gt;0,1,0)</f>
        <v>2</v>
      </c>
      <c r="CA33">
        <f>IF(COUNTIF('Resultats Reals'!$I$2:$I$3,BO33)&gt;0,3,0)+IF(COUNTIF('Resultats Reals'!$I$2:$I$3,BP33)&gt;0,3,0)</f>
        <v>0</v>
      </c>
      <c r="CB33">
        <f>IF(BQ33='Resultats Reals'!$J$2,5,0)</f>
        <v>0</v>
      </c>
      <c r="CC33">
        <f>IF(BS33='Resultats Reals'!$K$2,5,0)</f>
        <v>0</v>
      </c>
      <c r="CD33">
        <f>IFERROR(VLOOKUP(BT33,'Resultats Reals'!$N$2:$O$100,2,FALSE),0)</f>
        <v>6</v>
      </c>
      <c r="CE33">
        <f>IF(BR33='Resultats Reals'!$L$2,5,0)</f>
        <v>0</v>
      </c>
      <c r="CF33" s="7">
        <f t="shared" si="0"/>
        <v>77</v>
      </c>
    </row>
    <row r="34" spans="1:84" x14ac:dyDescent="0.25">
      <c r="A34" t="s">
        <v>201</v>
      </c>
      <c r="B34" t="s">
        <v>135</v>
      </c>
      <c r="C34" t="s">
        <v>86</v>
      </c>
      <c r="D34" t="s">
        <v>87</v>
      </c>
      <c r="E34" t="s">
        <v>100</v>
      </c>
      <c r="F34" t="s">
        <v>112</v>
      </c>
      <c r="G34" t="s">
        <v>90</v>
      </c>
      <c r="H34" t="s">
        <v>114</v>
      </c>
      <c r="I34" t="s">
        <v>92</v>
      </c>
      <c r="J34" t="s">
        <v>93</v>
      </c>
      <c r="K34" t="s">
        <v>94</v>
      </c>
      <c r="L34" t="s">
        <v>95</v>
      </c>
      <c r="M34" t="s">
        <v>108</v>
      </c>
      <c r="N34" t="s">
        <v>109</v>
      </c>
      <c r="O34" t="s">
        <v>98</v>
      </c>
      <c r="P34" t="s">
        <v>99</v>
      </c>
      <c r="Q34" t="s">
        <v>88</v>
      </c>
      <c r="R34" t="s">
        <v>101</v>
      </c>
      <c r="S34" t="s">
        <v>102</v>
      </c>
      <c r="T34" t="s">
        <v>103</v>
      </c>
      <c r="U34" t="s">
        <v>104</v>
      </c>
      <c r="V34" t="s">
        <v>105</v>
      </c>
      <c r="W34" t="s">
        <v>106</v>
      </c>
      <c r="X34" t="s">
        <v>107</v>
      </c>
      <c r="Y34" t="s">
        <v>96</v>
      </c>
      <c r="Z34" t="s">
        <v>97</v>
      </c>
      <c r="AA34" t="s">
        <v>110</v>
      </c>
      <c r="AB34" t="s">
        <v>245</v>
      </c>
      <c r="AC34" t="s">
        <v>111</v>
      </c>
      <c r="AD34" t="s">
        <v>89</v>
      </c>
      <c r="AE34" t="s">
        <v>113</v>
      </c>
      <c r="AF34" t="s">
        <v>91</v>
      </c>
      <c r="AG34" t="s">
        <v>115</v>
      </c>
      <c r="AH34" t="s">
        <v>116</v>
      </c>
      <c r="AI34" t="s">
        <v>117</v>
      </c>
      <c r="AJ34" t="s">
        <v>118</v>
      </c>
      <c r="AK34" t="s">
        <v>127</v>
      </c>
      <c r="AL34" t="s">
        <v>120</v>
      </c>
      <c r="AM34" t="s">
        <v>90</v>
      </c>
      <c r="AN34" t="s">
        <v>94</v>
      </c>
      <c r="AO34" t="s">
        <v>99</v>
      </c>
      <c r="AP34" t="s">
        <v>88</v>
      </c>
      <c r="AQ34" t="s">
        <v>96</v>
      </c>
      <c r="AR34" t="s">
        <v>93</v>
      </c>
      <c r="AS34" t="s">
        <v>91</v>
      </c>
      <c r="AT34" t="s">
        <v>92</v>
      </c>
      <c r="AU34" t="s">
        <v>100</v>
      </c>
      <c r="AV34" t="s">
        <v>102</v>
      </c>
      <c r="AW34" t="s">
        <v>86</v>
      </c>
      <c r="AX34" t="s">
        <v>109</v>
      </c>
      <c r="AY34" t="s">
        <v>95</v>
      </c>
      <c r="AZ34" t="s">
        <v>101</v>
      </c>
      <c r="BA34" t="s">
        <v>87</v>
      </c>
      <c r="BB34" t="s">
        <v>108</v>
      </c>
      <c r="BC34" t="s">
        <v>94</v>
      </c>
      <c r="BD34" t="s">
        <v>88</v>
      </c>
      <c r="BE34" t="s">
        <v>93</v>
      </c>
      <c r="BF34" t="s">
        <v>92</v>
      </c>
      <c r="BG34" t="s">
        <v>100</v>
      </c>
      <c r="BH34" t="s">
        <v>86</v>
      </c>
      <c r="BI34" t="s">
        <v>95</v>
      </c>
      <c r="BJ34" t="s">
        <v>108</v>
      </c>
      <c r="BK34" t="s">
        <v>94</v>
      </c>
      <c r="BL34" t="s">
        <v>93</v>
      </c>
      <c r="BM34" t="s">
        <v>100</v>
      </c>
      <c r="BN34" t="s">
        <v>95</v>
      </c>
      <c r="BO34" t="s">
        <v>93</v>
      </c>
      <c r="BP34" t="s">
        <v>100</v>
      </c>
      <c r="BQ34" t="s">
        <v>93</v>
      </c>
      <c r="BR34" s="6" t="s">
        <v>176</v>
      </c>
      <c r="BS34" t="s">
        <v>121</v>
      </c>
      <c r="BT34" t="s">
        <v>128</v>
      </c>
      <c r="BU34">
        <f>IF(C34='Resultats Reals'!$C$2,2,IF(OR(C34='Resultats Reals'!$C$3,COUNTIF('Resultats Reals'!$E$2:$E$33,C34)&gt;0),1,0))+IF(D34='Resultats Reals'!$C$5,2,IF(OR(D34='Resultats Reals'!$C$6,COUNTIF('Resultats Reals'!$E$2:$E$33,D34)&gt;0),1,0))+IF(E34='Resultats Reals'!$C$8,2,IF(OR(E34='Resultats Reals'!$C$9,COUNTIF('Resultats Reals'!$E$2:$E$33,E34)&gt;0),1,0))+IF(F34='Resultats Reals'!$C$11,2,IF(OR(F34='Resultats Reals'!$C$12,COUNTIF('Resultats Reals'!$E$2:$E$33,F34)&gt;0),1,0))+IF(G34='Resultats Reals'!$C$14,2,IF(OR(G34='Resultats Reals'!$C$15,COUNTIF('Resultats Reals'!$E$2:$E$33,G34)&gt;0),1,0))+IF(H34='Resultats Reals'!$C$17,2,IF(OR(H34='Resultats Reals'!$C$18,COUNTIF('Resultats Reals'!$E$2:$E$33,H34)&gt;0),1,0))+IF(I34='Resultats Reals'!$C$20,2,IF(OR(I34='Resultats Reals'!$C$21,COUNTIF('Resultats Reals'!$E$2:$E$33,I34)&gt;0),1,0))+IF(J34='Resultats Reals'!$C$23,2,IF(OR(J34='Resultats Reals'!$C$24,COUNTIF('Resultats Reals'!$E$2:$E$33,J34)&gt;0),1,0))+IF(K34='Resultats Reals'!$C$26,2,IF(OR(K34='Resultats Reals'!$C$27,COUNTIF('Resultats Reals'!$E$2:$E$33,K34)&gt;0),1,0))+IF(L34='Resultats Reals'!$C$29,2,IF(OR(L34='Resultats Reals'!$C$30,COUNTIF('Resultats Reals'!$E$2:$E$33,L34)&gt;0),1,0))+IF(M34='Resultats Reals'!$C$32,2,IF(OR(M34='Resultats Reals'!$C$33,COUNTIF('Resultats Reals'!$E$2:$E$33,M34)&gt;0),1,0))+IF(N34='Resultats Reals'!$C$35,2,IF(OR(N34='Resultats Reals'!$C$36,COUNTIF('Resultats Reals'!$E$2:$E$33,N34)&gt;0),1,0))</f>
        <v>20</v>
      </c>
      <c r="BV34">
        <f>IF(O34='Resultats Reals'!$C$3,2,IF(OR(O34='Resultats Reals'!$C$2,COUNTIF('Resultats Reals'!$E$2:$E$33,O34)&gt;0),1,0))+IF(P34='Resultats Reals'!$C$6,2,IF(OR(P34='Resultats Reals'!$C$5,COUNTIF('Resultats Reals'!$E$2:$E$33,P34)&gt;0),1,0))+IF(Q34='Resultats Reals'!$C$9,2,IF(OR(Q34='Resultats Reals'!$C$8,COUNTIF('Resultats Reals'!$E$2:$E$33,Q34)&gt;0),1,0))+IF(R34='Resultats Reals'!$C$12,2,IF(OR(R34='Resultats Reals'!$C$11,COUNTIF('Resultats Reals'!$E$2:$E$33,R34)&gt;0),1,0))+IF(S34='Resultats Reals'!$C$15,2,IF(OR(S34='Resultats Reals'!$C$14,COUNTIF('Resultats Reals'!$E$2:$E$33,S34)&gt;0),1,0))+IF(T34='Resultats Reals'!$C$18,2,IF(OR(T34='Resultats Reals'!$C$17,COUNTIF('Resultats Reals'!$E$2:$E$33,T34)&gt;0),1,0))+IF(U34='Resultats Reals'!$C$21,2,IF(OR(U34='Resultats Reals'!$C$20,COUNTIF('Resultats Reals'!$E$2:$E$33,U34)&gt;0),1,0))+IF(V34='Resultats Reals'!$C$24,2,IF(OR(V34='Resultats Reals'!$C$23,COUNTIF('Resultats Reals'!$E$2:$E$33,V34)&gt;0),1,0))+IF(W34='Resultats Reals'!$C$27,2,IF(OR(W34='Resultats Reals'!$C$26,COUNTIF('Resultats Reals'!$E$2:$E$33,W34)&gt;0),1,0))+IF(X34='Resultats Reals'!$C$30,2,IF(OR(X34='Resultats Reals'!$C$29,COUNTIF('Resultats Reals'!$E$2:$E$33,X34)&gt;0),1,0))+IF(Y34='Resultats Reals'!$C$33,2,IF(OR(Y34='Resultats Reals'!$C$32,COUNTIF('Resultats Reals'!$E$2:$E$33,Y34)&gt;0),1,0))+IF(Z34='Resultats Reals'!$C$36,2,IF(OR(Z34='Resultats Reals'!$C$35,COUNTIF('Resultats Reals'!$E$2:$E$33,Z34)&gt;0),1,0))</f>
        <v>13</v>
      </c>
      <c r="BW34">
        <f>IF(AA34='Resultats Reals'!$C$4,IF(COUNTIF('Resultats Reals'!$E$2:$E$33,AA34)&gt;0,2,0.5),IF(OR(AA34='Resultats Reals'!$C$2,AA34='Resultats Reals'!$C$3,COUNTIF('Resultats Reals'!$E$2:$E$33,AA34)&gt;0),1,0))+IF(AB34='Resultats Reals'!$C$7,IF(COUNTIF('Resultats Reals'!$E$2:$E$33,AB34)&gt;0,2,0.5),IF(OR(AB34='Resultats Reals'!$C$5,AB34='Resultats Reals'!$C$6,COUNTIF('Resultats Reals'!$E$2:$E$33,AB34)&gt;0),1,0))+IF(AC34='Resultats Reals'!$C$10,IF(COUNTIF('Resultats Reals'!$E$2:$E$33,AC34)&gt;0,2,0.5),IF(OR(AC34='Resultats Reals'!$C$8,AC34='Resultats Reals'!$C$9,COUNTIF('Resultats Reals'!$E$2:$E$33,AC34)&gt;0),1,0))+IF(AD34='Resultats Reals'!$C$13,IF(COUNTIF('Resultats Reals'!$E$2:$E$33,AD34)&gt;0,2,0.5),IF(OR(AD34='Resultats Reals'!$C$11,AD34='Resultats Reals'!$C$12,COUNTIF('Resultats Reals'!$E$2:$E$33,AD34)&gt;0),1,0))+IF(AE34='Resultats Reals'!$C$16,IF(COUNTIF('Resultats Reals'!$E$2:$E$33,AE34)&gt;0,2,0.5),IF(OR(AE34='Resultats Reals'!$C$14,AE34='Resultats Reals'!$C$15,COUNTIF('Resultats Reals'!$E$2:$E$33,AE34)&gt;0),1,0))+IF(AF34='Resultats Reals'!$C$19,IF(COUNTIF('Resultats Reals'!$E$2:$E$33,AF34)&gt;0,2,0.5),IF(OR(AF34='Resultats Reals'!$C$17,AF34='Resultats Reals'!$C$18,COUNTIF('Resultats Reals'!$E$2:$E$33,AF34)&gt;0),1,0))+IF(AG34='Resultats Reals'!$C$22,IF(COUNTIF('Resultats Reals'!$E$2:$E$33,AG34)&gt;0,2,0.5),IF(OR(AG34='Resultats Reals'!$C$20,AG34='Resultats Reals'!$C$21,COUNTIF('Resultats Reals'!$E$2:$E$33,AG34)&gt;0),1,0))+IF(AH34='Resultats Reals'!$C$25,IF(COUNTIF('Resultats Reals'!$E$2:$E$33,AH34)&gt;0,2,0.5),IF(OR(AH34='Resultats Reals'!$C$23,AH34='Resultats Reals'!$C$24,COUNTIF('Resultats Reals'!$E$2:$E$33,AH34)&gt;0),1,0))+IF(AI34='Resultats Reals'!$C$28,IF(COUNTIF('Resultats Reals'!$E$2:$E$33,AI34)&gt;0,2,0.5),IF(OR(AI34='Resultats Reals'!$C$26,AI34='Resultats Reals'!$C$27,COUNTIF('Resultats Reals'!$E$2:$E$33,AI34)&gt;0),1,0))+IF(AJ34='Resultats Reals'!$C$31,IF(COUNTIF('Resultats Reals'!$E$2:$E$33,AJ34)&gt;0,2,0.5),IF(OR(AJ34='Resultats Reals'!$C$29,AJ34='Resultats Reals'!$C$30,COUNTIF('Resultats Reals'!$E$2:$E$33,AJ34)&gt;0),1,0))+IF(AK34='Resultats Reals'!$C$34,IF(COUNTIF('Resultats Reals'!$E$2:$E$33,AK34)&gt;0,2,0.5),IF(OR(AK34='Resultats Reals'!$C$32,AK34='Resultats Reals'!$C$33,COUNTIF('Resultats Reals'!$E$2:$E$33,AK34)&gt;0),1,0))+IF(AL34='Resultats Reals'!$C$37,IF(COUNTIF('Resultats Reals'!$E$2:$E$33,AL34)&gt;0,2,0.5),IF(OR(AL34='Resultats Reals'!$C$35,AL34='Resultats Reals'!$C$36,COUNTIF('Resultats Reals'!$E$2:$E$33,AL34)&gt;0),1,0))</f>
        <v>13</v>
      </c>
      <c r="BX34">
        <f>IF(COUNTIF('Resultats Reals'!$F$2:$F$17,AM34)&gt;0,1,0)+IF(COUNTIF('Resultats Reals'!$F$2:$F$17,AN34)&gt;0,1,0)+IF(COUNTIF('Resultats Reals'!$F$2:$F$17,AO34)&gt;0,1,0)+IF(COUNTIF('Resultats Reals'!$F$2:$F$17,AP34)&gt;0,1,0)+IF(COUNTIF('Resultats Reals'!$F$2:$F$17,AQ34)&gt;0,1,0)+IF(COUNTIF('Resultats Reals'!$F$2:$F$17,AR34)&gt;0,1,0)+IF(COUNTIF('Resultats Reals'!$F$2:$F$17,AS34)&gt;0,1,0)+IF(COUNTIF('Resultats Reals'!$F$2:$F$17,AT34)&gt;0,1,0)+IF(COUNTIF('Resultats Reals'!$F$2:$F$17,AU34)&gt;0,1,0)+IF(COUNTIF('Resultats Reals'!$F$2:$F$17,AV34)&gt;0,1,0)+IF(COUNTIF('Resultats Reals'!$F$2:$F$17,AW34)&gt;0,1,0)+IF(COUNTIF('Resultats Reals'!$F$2:$F$17,AX34)&gt;0,1,0)+IF(COUNTIF('Resultats Reals'!$F$2:$F$17,AY34)&gt;0,1,0)+IF(COUNTIF('Resultats Reals'!$F$2:$F$17,AZ34)&gt;0,1,0)+IF(COUNTIF('Resultats Reals'!$F$2:$F$17,BA34)&gt;0,1,0)+IF(COUNTIF('Resultats Reals'!$F$2:$F$17,BB34)&gt;0,1,0)</f>
        <v>11</v>
      </c>
      <c r="BY34">
        <f>IF(COUNTIF('Resultats Reals'!$G$2:$G$9,BC34)&gt;0,1,0)+IF(COUNTIF('Resultats Reals'!$G$2:$G$9,BD34)&gt;0,1,0)+IF(COUNTIF('Resultats Reals'!$G$2:$G$9,BE34)&gt;0,1,0)+IF(COUNTIF('Resultats Reals'!$G$2:$G$9,BF34)&gt;0,1,0)+IF(COUNTIF('Resultats Reals'!$G$2:$G$9,BG34)&gt;0,1,0)+IF(COUNTIF('Resultats Reals'!$G$2:$G$9,BH34)&gt;0,1,0)+IF(COUNTIF('Resultats Reals'!$G$2:$G$9,BI34)&gt;0,1,0)+IF(COUNTIF('Resultats Reals'!$G$2:$G$9,BJ34)&gt;0,1,0)</f>
        <v>5</v>
      </c>
      <c r="BZ34">
        <f>IF(COUNTIF('Resultats Reals'!$H$2:$H$5,BK34)&gt;0,1,0)+IF(COUNTIF('Resultats Reals'!$H$2:$H$5,BL34)&gt;0,1,0)+IF(COUNTIF('Resultats Reals'!$H$2:$H$5,BM34)&gt;0,1,0)+IF(COUNTIF('Resultats Reals'!$H$2:$H$5,BN34)&gt;0,1,0)</f>
        <v>3</v>
      </c>
      <c r="CA34">
        <f>IF(COUNTIF('Resultats Reals'!$I$2:$I$3,BO34)&gt;0,3,0)+IF(COUNTIF('Resultats Reals'!$I$2:$I$3,BP34)&gt;0,3,0)</f>
        <v>0</v>
      </c>
      <c r="CB34">
        <f>IF(BQ34='Resultats Reals'!$J$2,5,0)</f>
        <v>0</v>
      </c>
      <c r="CC34">
        <f>IF(BS34='Resultats Reals'!$K$2,5,0)</f>
        <v>0</v>
      </c>
      <c r="CD34">
        <f>IFERROR(VLOOKUP(BT34,'Resultats Reals'!$N$2:$O$100,2,FALSE),0)</f>
        <v>8</v>
      </c>
      <c r="CE34">
        <f>IF(BR34='Resultats Reals'!$L$2,5,0)</f>
        <v>0</v>
      </c>
      <c r="CF34" s="7">
        <f t="shared" si="0"/>
        <v>73</v>
      </c>
    </row>
    <row r="35" spans="1:84" x14ac:dyDescent="0.25">
      <c r="A35" t="s">
        <v>151</v>
      </c>
      <c r="B35" t="s">
        <v>85</v>
      </c>
      <c r="C35" t="s">
        <v>86</v>
      </c>
      <c r="D35" t="s">
        <v>87</v>
      </c>
      <c r="E35" t="s">
        <v>88</v>
      </c>
      <c r="F35" t="s">
        <v>101</v>
      </c>
      <c r="G35" t="s">
        <v>90</v>
      </c>
      <c r="H35" t="s">
        <v>91</v>
      </c>
      <c r="I35" t="s">
        <v>92</v>
      </c>
      <c r="J35" t="s">
        <v>93</v>
      </c>
      <c r="K35" t="s">
        <v>94</v>
      </c>
      <c r="L35" t="s">
        <v>95</v>
      </c>
      <c r="M35" t="s">
        <v>96</v>
      </c>
      <c r="N35" t="s">
        <v>97</v>
      </c>
      <c r="O35" t="s">
        <v>98</v>
      </c>
      <c r="P35" t="s">
        <v>99</v>
      </c>
      <c r="Q35" t="s">
        <v>100</v>
      </c>
      <c r="R35" t="s">
        <v>89</v>
      </c>
      <c r="S35" t="s">
        <v>102</v>
      </c>
      <c r="T35" t="s">
        <v>114</v>
      </c>
      <c r="U35" t="s">
        <v>104</v>
      </c>
      <c r="V35" t="s">
        <v>105</v>
      </c>
      <c r="W35" t="s">
        <v>117</v>
      </c>
      <c r="X35" t="s">
        <v>107</v>
      </c>
      <c r="Y35" t="s">
        <v>108</v>
      </c>
      <c r="Z35" t="s">
        <v>109</v>
      </c>
      <c r="AA35" t="s">
        <v>110</v>
      </c>
      <c r="AB35" t="s">
        <v>245</v>
      </c>
      <c r="AC35" t="s">
        <v>111</v>
      </c>
      <c r="AD35" t="s">
        <v>126</v>
      </c>
      <c r="AE35" t="s">
        <v>113</v>
      </c>
      <c r="AF35" t="s">
        <v>131</v>
      </c>
      <c r="AG35" t="s">
        <v>138</v>
      </c>
      <c r="AH35" t="s">
        <v>116</v>
      </c>
      <c r="AI35" t="s">
        <v>106</v>
      </c>
      <c r="AJ35" t="s">
        <v>143</v>
      </c>
      <c r="AK35" t="s">
        <v>127</v>
      </c>
      <c r="AL35" t="s">
        <v>144</v>
      </c>
      <c r="AM35" t="s">
        <v>86</v>
      </c>
      <c r="AN35" t="s">
        <v>87</v>
      </c>
      <c r="AO35" t="s">
        <v>88</v>
      </c>
      <c r="AP35" t="s">
        <v>101</v>
      </c>
      <c r="AQ35" t="s">
        <v>90</v>
      </c>
      <c r="AR35" t="s">
        <v>91</v>
      </c>
      <c r="AS35" t="s">
        <v>92</v>
      </c>
      <c r="AT35" t="s">
        <v>93</v>
      </c>
      <c r="AU35" t="s">
        <v>94</v>
      </c>
      <c r="AV35" t="s">
        <v>95</v>
      </c>
      <c r="AW35" t="s">
        <v>96</v>
      </c>
      <c r="AX35" t="s">
        <v>97</v>
      </c>
      <c r="AY35" t="s">
        <v>100</v>
      </c>
      <c r="AZ35" t="s">
        <v>109</v>
      </c>
      <c r="BA35" t="s">
        <v>114</v>
      </c>
      <c r="BB35" t="s">
        <v>117</v>
      </c>
      <c r="BC35" t="s">
        <v>93</v>
      </c>
      <c r="BD35" t="s">
        <v>94</v>
      </c>
      <c r="BE35" t="s">
        <v>100</v>
      </c>
      <c r="BF35" t="s">
        <v>95</v>
      </c>
      <c r="BG35" t="s">
        <v>96</v>
      </c>
      <c r="BH35" t="s">
        <v>88</v>
      </c>
      <c r="BI35" t="s">
        <v>97</v>
      </c>
      <c r="BJ35" t="s">
        <v>90</v>
      </c>
      <c r="BK35" t="s">
        <v>93</v>
      </c>
      <c r="BL35" t="s">
        <v>94</v>
      </c>
      <c r="BM35" t="s">
        <v>88</v>
      </c>
      <c r="BN35" t="s">
        <v>95</v>
      </c>
      <c r="BO35" t="s">
        <v>93</v>
      </c>
      <c r="BP35" t="s">
        <v>94</v>
      </c>
      <c r="BQ35" t="s">
        <v>93</v>
      </c>
      <c r="BS35" t="s">
        <v>121</v>
      </c>
      <c r="BT35" t="s">
        <v>128</v>
      </c>
      <c r="BU35">
        <f>IF(C35='Resultats Reals'!$C$2,2,IF(OR(C35='Resultats Reals'!$C$3,COUNTIF('Resultats Reals'!$E$2:$E$33,C35)&gt;0),1,0))+IF(D35='Resultats Reals'!$C$5,2,IF(OR(D35='Resultats Reals'!$C$6,COUNTIF('Resultats Reals'!$E$2:$E$33,D35)&gt;0),1,0))+IF(E35='Resultats Reals'!$C$8,2,IF(OR(E35='Resultats Reals'!$C$9,COUNTIF('Resultats Reals'!$E$2:$E$33,E35)&gt;0),1,0))+IF(F35='Resultats Reals'!$C$11,2,IF(OR(F35='Resultats Reals'!$C$12,COUNTIF('Resultats Reals'!$E$2:$E$33,F35)&gt;0),1,0))+IF(G35='Resultats Reals'!$C$14,2,IF(OR(G35='Resultats Reals'!$C$15,COUNTIF('Resultats Reals'!$E$2:$E$33,G35)&gt;0),1,0))+IF(H35='Resultats Reals'!$C$17,2,IF(OR(H35='Resultats Reals'!$C$18,COUNTIF('Resultats Reals'!$E$2:$E$33,H35)&gt;0),1,0))+IF(I35='Resultats Reals'!$C$20,2,IF(OR(I35='Resultats Reals'!$C$21,COUNTIF('Resultats Reals'!$E$2:$E$33,I35)&gt;0),1,0))+IF(J35='Resultats Reals'!$C$23,2,IF(OR(J35='Resultats Reals'!$C$24,COUNTIF('Resultats Reals'!$E$2:$E$33,J35)&gt;0),1,0))+IF(K35='Resultats Reals'!$C$26,2,IF(OR(K35='Resultats Reals'!$C$27,COUNTIF('Resultats Reals'!$E$2:$E$33,K35)&gt;0),1,0))+IF(L35='Resultats Reals'!$C$29,2,IF(OR(L35='Resultats Reals'!$C$30,COUNTIF('Resultats Reals'!$E$2:$E$33,L35)&gt;0),1,0))+IF(M35='Resultats Reals'!$C$32,2,IF(OR(M35='Resultats Reals'!$C$33,COUNTIF('Resultats Reals'!$E$2:$E$33,M35)&gt;0),1,0))+IF(N35='Resultats Reals'!$C$35,2,IF(OR(N35='Resultats Reals'!$C$36,COUNTIF('Resultats Reals'!$E$2:$E$33,N35)&gt;0),1,0))</f>
        <v>21</v>
      </c>
      <c r="BV35">
        <f>IF(O35='Resultats Reals'!$C$3,2,IF(OR(O35='Resultats Reals'!$C$2,COUNTIF('Resultats Reals'!$E$2:$E$33,O35)&gt;0),1,0))+IF(P35='Resultats Reals'!$C$6,2,IF(OR(P35='Resultats Reals'!$C$5,COUNTIF('Resultats Reals'!$E$2:$E$33,P35)&gt;0),1,0))+IF(Q35='Resultats Reals'!$C$9,2,IF(OR(Q35='Resultats Reals'!$C$8,COUNTIF('Resultats Reals'!$E$2:$E$33,Q35)&gt;0),1,0))+IF(R35='Resultats Reals'!$C$12,2,IF(OR(R35='Resultats Reals'!$C$11,COUNTIF('Resultats Reals'!$E$2:$E$33,R35)&gt;0),1,0))+IF(S35='Resultats Reals'!$C$15,2,IF(OR(S35='Resultats Reals'!$C$14,COUNTIF('Resultats Reals'!$E$2:$E$33,S35)&gt;0),1,0))+IF(T35='Resultats Reals'!$C$18,2,IF(OR(T35='Resultats Reals'!$C$17,COUNTIF('Resultats Reals'!$E$2:$E$33,T35)&gt;0),1,0))+IF(U35='Resultats Reals'!$C$21,2,IF(OR(U35='Resultats Reals'!$C$20,COUNTIF('Resultats Reals'!$E$2:$E$33,U35)&gt;0),1,0))+IF(V35='Resultats Reals'!$C$24,2,IF(OR(V35='Resultats Reals'!$C$23,COUNTIF('Resultats Reals'!$E$2:$E$33,V35)&gt;0),1,0))+IF(W35='Resultats Reals'!$C$27,2,IF(OR(W35='Resultats Reals'!$C$26,COUNTIF('Resultats Reals'!$E$2:$E$33,W35)&gt;0),1,0))+IF(X35='Resultats Reals'!$C$30,2,IF(OR(X35='Resultats Reals'!$C$29,COUNTIF('Resultats Reals'!$E$2:$E$33,X35)&gt;0),1,0))+IF(Y35='Resultats Reals'!$C$33,2,IF(OR(Y35='Resultats Reals'!$C$32,COUNTIF('Resultats Reals'!$E$2:$E$33,Y35)&gt;0),1,0))+IF(Z35='Resultats Reals'!$C$36,2,IF(OR(Z35='Resultats Reals'!$C$35,COUNTIF('Resultats Reals'!$E$2:$E$33,Z35)&gt;0),1,0))</f>
        <v>17</v>
      </c>
      <c r="BW35">
        <f>IF(AA35='Resultats Reals'!$C$4,IF(COUNTIF('Resultats Reals'!$E$2:$E$33,AA35)&gt;0,2,0.5),IF(OR(AA35='Resultats Reals'!$C$2,AA35='Resultats Reals'!$C$3,COUNTIF('Resultats Reals'!$E$2:$E$33,AA35)&gt;0),1,0))+IF(AB35='Resultats Reals'!$C$7,IF(COUNTIF('Resultats Reals'!$E$2:$E$33,AB35)&gt;0,2,0.5),IF(OR(AB35='Resultats Reals'!$C$5,AB35='Resultats Reals'!$C$6,COUNTIF('Resultats Reals'!$E$2:$E$33,AB35)&gt;0),1,0))+IF(AC35='Resultats Reals'!$C$10,IF(COUNTIF('Resultats Reals'!$E$2:$E$33,AC35)&gt;0,2,0.5),IF(OR(AC35='Resultats Reals'!$C$8,AC35='Resultats Reals'!$C$9,COUNTIF('Resultats Reals'!$E$2:$E$33,AC35)&gt;0),1,0))+IF(AD35='Resultats Reals'!$C$13,IF(COUNTIF('Resultats Reals'!$E$2:$E$33,AD35)&gt;0,2,0.5),IF(OR(AD35='Resultats Reals'!$C$11,AD35='Resultats Reals'!$C$12,COUNTIF('Resultats Reals'!$E$2:$E$33,AD35)&gt;0),1,0))+IF(AE35='Resultats Reals'!$C$16,IF(COUNTIF('Resultats Reals'!$E$2:$E$33,AE35)&gt;0,2,0.5),IF(OR(AE35='Resultats Reals'!$C$14,AE35='Resultats Reals'!$C$15,COUNTIF('Resultats Reals'!$E$2:$E$33,AE35)&gt;0),1,0))+IF(AF35='Resultats Reals'!$C$19,IF(COUNTIF('Resultats Reals'!$E$2:$E$33,AF35)&gt;0,2,0.5),IF(OR(AF35='Resultats Reals'!$C$17,AF35='Resultats Reals'!$C$18,COUNTIF('Resultats Reals'!$E$2:$E$33,AF35)&gt;0),1,0))+IF(AG35='Resultats Reals'!$C$22,IF(COUNTIF('Resultats Reals'!$E$2:$E$33,AG35)&gt;0,2,0.5),IF(OR(AG35='Resultats Reals'!$C$20,AG35='Resultats Reals'!$C$21,COUNTIF('Resultats Reals'!$E$2:$E$33,AG35)&gt;0),1,0))+IF(AH35='Resultats Reals'!$C$25,IF(COUNTIF('Resultats Reals'!$E$2:$E$33,AH35)&gt;0,2,0.5),IF(OR(AH35='Resultats Reals'!$C$23,AH35='Resultats Reals'!$C$24,COUNTIF('Resultats Reals'!$E$2:$E$33,AH35)&gt;0),1,0))+IF(AI35='Resultats Reals'!$C$28,IF(COUNTIF('Resultats Reals'!$E$2:$E$33,AI35)&gt;0,2,0.5),IF(OR(AI35='Resultats Reals'!$C$26,AI35='Resultats Reals'!$C$27,COUNTIF('Resultats Reals'!$E$2:$E$33,AI35)&gt;0),1,0))+IF(AJ35='Resultats Reals'!$C$31,IF(COUNTIF('Resultats Reals'!$E$2:$E$33,AJ35)&gt;0,2,0.5),IF(OR(AJ35='Resultats Reals'!$C$29,AJ35='Resultats Reals'!$C$30,COUNTIF('Resultats Reals'!$E$2:$E$33,AJ35)&gt;0),1,0))+IF(AK35='Resultats Reals'!$C$34,IF(COUNTIF('Resultats Reals'!$E$2:$E$33,AK35)&gt;0,2,0.5),IF(OR(AK35='Resultats Reals'!$C$32,AK35='Resultats Reals'!$C$33,COUNTIF('Resultats Reals'!$E$2:$E$33,AK35)&gt;0),1,0))+IF(AL35='Resultats Reals'!$C$37,IF(COUNTIF('Resultats Reals'!$E$2:$E$33,AL35)&gt;0,2,0.5),IF(OR(AL35='Resultats Reals'!$C$35,AL35='Resultats Reals'!$C$36,COUNTIF('Resultats Reals'!$E$2:$E$33,AL35)&gt;0),1,0))</f>
        <v>8.5</v>
      </c>
      <c r="BX35">
        <f>IF(COUNTIF('Resultats Reals'!$F$2:$F$17,AM35)&gt;0,1,0)+IF(COUNTIF('Resultats Reals'!$F$2:$F$17,AN35)&gt;0,1,0)+IF(COUNTIF('Resultats Reals'!$F$2:$F$17,AO35)&gt;0,1,0)+IF(COUNTIF('Resultats Reals'!$F$2:$F$17,AP35)&gt;0,1,0)+IF(COUNTIF('Resultats Reals'!$F$2:$F$17,AQ35)&gt;0,1,0)+IF(COUNTIF('Resultats Reals'!$F$2:$F$17,AR35)&gt;0,1,0)+IF(COUNTIF('Resultats Reals'!$F$2:$F$17,AS35)&gt;0,1,0)+IF(COUNTIF('Resultats Reals'!$F$2:$F$17,AT35)&gt;0,1,0)+IF(COUNTIF('Resultats Reals'!$F$2:$F$17,AU35)&gt;0,1,0)+IF(COUNTIF('Resultats Reals'!$F$2:$F$17,AV35)&gt;0,1,0)+IF(COUNTIF('Resultats Reals'!$F$2:$F$17,AW35)&gt;0,1,0)+IF(COUNTIF('Resultats Reals'!$F$2:$F$17,AX35)&gt;0,1,0)+IF(COUNTIF('Resultats Reals'!$F$2:$F$17,AY35)&gt;0,1,0)+IF(COUNTIF('Resultats Reals'!$F$2:$F$17,AZ35)&gt;0,1,0)+IF(COUNTIF('Resultats Reals'!$F$2:$F$17,BA35)&gt;0,1,0)+IF(COUNTIF('Resultats Reals'!$F$2:$F$17,BB35)&gt;0,1,0)</f>
        <v>11</v>
      </c>
      <c r="BY35">
        <f>IF(COUNTIF('Resultats Reals'!$G$2:$G$9,BC35)&gt;0,1,0)+IF(COUNTIF('Resultats Reals'!$G$2:$G$9,BD35)&gt;0,1,0)+IF(COUNTIF('Resultats Reals'!$G$2:$G$9,BE35)&gt;0,1,0)+IF(COUNTIF('Resultats Reals'!$G$2:$G$9,BF35)&gt;0,1,0)+IF(COUNTIF('Resultats Reals'!$G$2:$G$9,BG35)&gt;0,1,0)+IF(COUNTIF('Resultats Reals'!$G$2:$G$9,BH35)&gt;0,1,0)+IF(COUNTIF('Resultats Reals'!$G$2:$G$9,BI35)&gt;0,1,0)+IF(COUNTIF('Resultats Reals'!$G$2:$G$9,BJ35)&gt;0,1,0)</f>
        <v>5</v>
      </c>
      <c r="BZ35">
        <f>IF(COUNTIF('Resultats Reals'!$H$2:$H$5,BK35)&gt;0,1,0)+IF(COUNTIF('Resultats Reals'!$H$2:$H$5,BL35)&gt;0,1,0)+IF(COUNTIF('Resultats Reals'!$H$2:$H$5,BM35)&gt;0,1,0)+IF(COUNTIF('Resultats Reals'!$H$2:$H$5,BN35)&gt;0,1,0)</f>
        <v>3</v>
      </c>
      <c r="CA35">
        <f>IF(COUNTIF('Resultats Reals'!$I$2:$I$3,BO35)&gt;0,3,0)+IF(COUNTIF('Resultats Reals'!$I$2:$I$3,BP35)&gt;0,3,0)</f>
        <v>0</v>
      </c>
      <c r="CB35">
        <f>IF(BQ35='Resultats Reals'!$J$2,5,0)</f>
        <v>0</v>
      </c>
      <c r="CC35">
        <f>IF(BS35='Resultats Reals'!$K$2,5,0)</f>
        <v>0</v>
      </c>
      <c r="CD35">
        <f>IFERROR(VLOOKUP(BT35,'Resultats Reals'!$N$2:$O$100,2,FALSE),0)</f>
        <v>8</v>
      </c>
      <c r="CE35">
        <f>IF(BR35='Resultats Reals'!$L$2,5,0)</f>
        <v>0</v>
      </c>
      <c r="CF35" s="7">
        <f t="shared" si="0"/>
        <v>73.5</v>
      </c>
    </row>
    <row r="36" spans="1:84" x14ac:dyDescent="0.25">
      <c r="A36" t="s">
        <v>152</v>
      </c>
      <c r="B36" t="s">
        <v>147</v>
      </c>
      <c r="C36" t="s">
        <v>98</v>
      </c>
      <c r="D36" t="s">
        <v>87</v>
      </c>
      <c r="E36" t="s">
        <v>88</v>
      </c>
      <c r="F36" t="s">
        <v>101</v>
      </c>
      <c r="G36" t="s">
        <v>90</v>
      </c>
      <c r="H36" t="s">
        <v>91</v>
      </c>
      <c r="I36" t="s">
        <v>92</v>
      </c>
      <c r="J36" t="s">
        <v>93</v>
      </c>
      <c r="K36" t="s">
        <v>94</v>
      </c>
      <c r="L36" t="s">
        <v>95</v>
      </c>
      <c r="M36" t="s">
        <v>96</v>
      </c>
      <c r="N36" t="s">
        <v>109</v>
      </c>
      <c r="O36" t="s">
        <v>110</v>
      </c>
      <c r="P36" t="s">
        <v>245</v>
      </c>
      <c r="Q36" t="s">
        <v>100</v>
      </c>
      <c r="R36" t="s">
        <v>112</v>
      </c>
      <c r="S36" t="s">
        <v>102</v>
      </c>
      <c r="T36" t="s">
        <v>103</v>
      </c>
      <c r="U36" t="s">
        <v>104</v>
      </c>
      <c r="V36" t="s">
        <v>105</v>
      </c>
      <c r="W36" t="s">
        <v>117</v>
      </c>
      <c r="X36" t="s">
        <v>107</v>
      </c>
      <c r="Y36" t="s">
        <v>108</v>
      </c>
      <c r="Z36" t="s">
        <v>97</v>
      </c>
      <c r="AA36" t="s">
        <v>86</v>
      </c>
      <c r="AB36" t="s">
        <v>99</v>
      </c>
      <c r="AC36" t="s">
        <v>111</v>
      </c>
      <c r="AD36" t="s">
        <v>89</v>
      </c>
      <c r="AE36" t="s">
        <v>113</v>
      </c>
      <c r="AF36" t="s">
        <v>114</v>
      </c>
      <c r="AG36" t="s">
        <v>115</v>
      </c>
      <c r="AH36" t="s">
        <v>116</v>
      </c>
      <c r="AI36" t="s">
        <v>106</v>
      </c>
      <c r="AJ36" t="s">
        <v>118</v>
      </c>
      <c r="AK36" t="s">
        <v>127</v>
      </c>
      <c r="AL36" t="s">
        <v>120</v>
      </c>
      <c r="AM36" t="s">
        <v>102</v>
      </c>
      <c r="AN36" t="s">
        <v>93</v>
      </c>
      <c r="AO36" t="s">
        <v>114</v>
      </c>
      <c r="AP36" t="s">
        <v>88</v>
      </c>
      <c r="AQ36" t="s">
        <v>100</v>
      </c>
      <c r="AR36" t="s">
        <v>98</v>
      </c>
      <c r="AS36" t="s">
        <v>90</v>
      </c>
      <c r="AT36" t="s">
        <v>91</v>
      </c>
      <c r="AU36" t="s">
        <v>92</v>
      </c>
      <c r="AV36" t="s">
        <v>105</v>
      </c>
      <c r="AW36" t="s">
        <v>94</v>
      </c>
      <c r="AX36" t="s">
        <v>95</v>
      </c>
      <c r="AY36" t="s">
        <v>96</v>
      </c>
      <c r="AZ36" t="s">
        <v>108</v>
      </c>
      <c r="BA36" t="s">
        <v>97</v>
      </c>
      <c r="BB36" t="s">
        <v>109</v>
      </c>
      <c r="BC36" t="s">
        <v>94</v>
      </c>
      <c r="BD36" t="s">
        <v>88</v>
      </c>
      <c r="BE36" t="s">
        <v>93</v>
      </c>
      <c r="BF36" t="s">
        <v>92</v>
      </c>
      <c r="BG36" t="s">
        <v>95</v>
      </c>
      <c r="BH36" t="s">
        <v>114</v>
      </c>
      <c r="BI36" t="s">
        <v>91</v>
      </c>
      <c r="BJ36" t="s">
        <v>102</v>
      </c>
      <c r="BK36" t="s">
        <v>94</v>
      </c>
      <c r="BL36" t="s">
        <v>88</v>
      </c>
      <c r="BM36" t="s">
        <v>93</v>
      </c>
      <c r="BN36" t="s">
        <v>95</v>
      </c>
      <c r="BO36" t="s">
        <v>88</v>
      </c>
      <c r="BP36" t="s">
        <v>94</v>
      </c>
      <c r="BQ36" t="s">
        <v>94</v>
      </c>
      <c r="BS36" t="s">
        <v>145</v>
      </c>
      <c r="BT36" t="s">
        <v>128</v>
      </c>
      <c r="BU36">
        <f>IF(C36='Resultats Reals'!$C$2,2,IF(OR(C36='Resultats Reals'!$C$3,COUNTIF('Resultats Reals'!$E$2:$E$33,C36)&gt;0),1,0))+IF(D36='Resultats Reals'!$C$5,2,IF(OR(D36='Resultats Reals'!$C$6,COUNTIF('Resultats Reals'!$E$2:$E$33,D36)&gt;0),1,0))+IF(E36='Resultats Reals'!$C$8,2,IF(OR(E36='Resultats Reals'!$C$9,COUNTIF('Resultats Reals'!$E$2:$E$33,E36)&gt;0),1,0))+IF(F36='Resultats Reals'!$C$11,2,IF(OR(F36='Resultats Reals'!$C$12,COUNTIF('Resultats Reals'!$E$2:$E$33,F36)&gt;0),1,0))+IF(G36='Resultats Reals'!$C$14,2,IF(OR(G36='Resultats Reals'!$C$15,COUNTIF('Resultats Reals'!$E$2:$E$33,G36)&gt;0),1,0))+IF(H36='Resultats Reals'!$C$17,2,IF(OR(H36='Resultats Reals'!$C$18,COUNTIF('Resultats Reals'!$E$2:$E$33,H36)&gt;0),1,0))+IF(I36='Resultats Reals'!$C$20,2,IF(OR(I36='Resultats Reals'!$C$21,COUNTIF('Resultats Reals'!$E$2:$E$33,I36)&gt;0),1,0))+IF(J36='Resultats Reals'!$C$23,2,IF(OR(J36='Resultats Reals'!$C$24,COUNTIF('Resultats Reals'!$E$2:$E$33,J36)&gt;0),1,0))+IF(K36='Resultats Reals'!$C$26,2,IF(OR(K36='Resultats Reals'!$C$27,COUNTIF('Resultats Reals'!$E$2:$E$33,K36)&gt;0),1,0))+IF(L36='Resultats Reals'!$C$29,2,IF(OR(L36='Resultats Reals'!$C$30,COUNTIF('Resultats Reals'!$E$2:$E$33,L36)&gt;0),1,0))+IF(M36='Resultats Reals'!$C$32,2,IF(OR(M36='Resultats Reals'!$C$33,COUNTIF('Resultats Reals'!$E$2:$E$33,M36)&gt;0),1,0))+IF(N36='Resultats Reals'!$C$35,2,IF(OR(N36='Resultats Reals'!$C$36,COUNTIF('Resultats Reals'!$E$2:$E$33,N36)&gt;0),1,0))</f>
        <v>18</v>
      </c>
      <c r="BV36">
        <f>IF(O36='Resultats Reals'!$C$3,2,IF(OR(O36='Resultats Reals'!$C$2,COUNTIF('Resultats Reals'!$E$2:$E$33,O36)&gt;0),1,0))+IF(P36='Resultats Reals'!$C$6,2,IF(OR(P36='Resultats Reals'!$C$5,COUNTIF('Resultats Reals'!$E$2:$E$33,P36)&gt;0),1,0))+IF(Q36='Resultats Reals'!$C$9,2,IF(OR(Q36='Resultats Reals'!$C$8,COUNTIF('Resultats Reals'!$E$2:$E$33,Q36)&gt;0),1,0))+IF(R36='Resultats Reals'!$C$12,2,IF(OR(R36='Resultats Reals'!$C$11,COUNTIF('Resultats Reals'!$E$2:$E$33,R36)&gt;0),1,0))+IF(S36='Resultats Reals'!$C$15,2,IF(OR(S36='Resultats Reals'!$C$14,COUNTIF('Resultats Reals'!$E$2:$E$33,S36)&gt;0),1,0))+IF(T36='Resultats Reals'!$C$18,2,IF(OR(T36='Resultats Reals'!$C$17,COUNTIF('Resultats Reals'!$E$2:$E$33,T36)&gt;0),1,0))+IF(U36='Resultats Reals'!$C$21,2,IF(OR(U36='Resultats Reals'!$C$20,COUNTIF('Resultats Reals'!$E$2:$E$33,U36)&gt;0),1,0))+IF(V36='Resultats Reals'!$C$24,2,IF(OR(V36='Resultats Reals'!$C$23,COUNTIF('Resultats Reals'!$E$2:$E$33,V36)&gt;0),1,0))+IF(W36='Resultats Reals'!$C$27,2,IF(OR(W36='Resultats Reals'!$C$26,COUNTIF('Resultats Reals'!$E$2:$E$33,W36)&gt;0),1,0))+IF(X36='Resultats Reals'!$C$30,2,IF(OR(X36='Resultats Reals'!$C$29,COUNTIF('Resultats Reals'!$E$2:$E$33,X36)&gt;0),1,0))+IF(Y36='Resultats Reals'!$C$33,2,IF(OR(Y36='Resultats Reals'!$C$32,COUNTIF('Resultats Reals'!$E$2:$E$33,Y36)&gt;0),1,0))+IF(Z36='Resultats Reals'!$C$36,2,IF(OR(Z36='Resultats Reals'!$C$35,COUNTIF('Resultats Reals'!$E$2:$E$33,Z36)&gt;0),1,0))</f>
        <v>14</v>
      </c>
      <c r="BW36">
        <f>IF(AA36='Resultats Reals'!$C$4,IF(COUNTIF('Resultats Reals'!$E$2:$E$33,AA36)&gt;0,2,0.5),IF(OR(AA36='Resultats Reals'!$C$2,AA36='Resultats Reals'!$C$3,COUNTIF('Resultats Reals'!$E$2:$E$33,AA36)&gt;0),1,0))+IF(AB36='Resultats Reals'!$C$7,IF(COUNTIF('Resultats Reals'!$E$2:$E$33,AB36)&gt;0,2,0.5),IF(OR(AB36='Resultats Reals'!$C$5,AB36='Resultats Reals'!$C$6,COUNTIF('Resultats Reals'!$E$2:$E$33,AB36)&gt;0),1,0))+IF(AC36='Resultats Reals'!$C$10,IF(COUNTIF('Resultats Reals'!$E$2:$E$33,AC36)&gt;0,2,0.5),IF(OR(AC36='Resultats Reals'!$C$8,AC36='Resultats Reals'!$C$9,COUNTIF('Resultats Reals'!$E$2:$E$33,AC36)&gt;0),1,0))+IF(AD36='Resultats Reals'!$C$13,IF(COUNTIF('Resultats Reals'!$E$2:$E$33,AD36)&gt;0,2,0.5),IF(OR(AD36='Resultats Reals'!$C$11,AD36='Resultats Reals'!$C$12,COUNTIF('Resultats Reals'!$E$2:$E$33,AD36)&gt;0),1,0))+IF(AE36='Resultats Reals'!$C$16,IF(COUNTIF('Resultats Reals'!$E$2:$E$33,AE36)&gt;0,2,0.5),IF(OR(AE36='Resultats Reals'!$C$14,AE36='Resultats Reals'!$C$15,COUNTIF('Resultats Reals'!$E$2:$E$33,AE36)&gt;0),1,0))+IF(AF36='Resultats Reals'!$C$19,IF(COUNTIF('Resultats Reals'!$E$2:$E$33,AF36)&gt;0,2,0.5),IF(OR(AF36='Resultats Reals'!$C$17,AF36='Resultats Reals'!$C$18,COUNTIF('Resultats Reals'!$E$2:$E$33,AF36)&gt;0),1,0))+IF(AG36='Resultats Reals'!$C$22,IF(COUNTIF('Resultats Reals'!$E$2:$E$33,AG36)&gt;0,2,0.5),IF(OR(AG36='Resultats Reals'!$C$20,AG36='Resultats Reals'!$C$21,COUNTIF('Resultats Reals'!$E$2:$E$33,AG36)&gt;0),1,0))+IF(AH36='Resultats Reals'!$C$25,IF(COUNTIF('Resultats Reals'!$E$2:$E$33,AH36)&gt;0,2,0.5),IF(OR(AH36='Resultats Reals'!$C$23,AH36='Resultats Reals'!$C$24,COUNTIF('Resultats Reals'!$E$2:$E$33,AH36)&gt;0),1,0))+IF(AI36='Resultats Reals'!$C$28,IF(COUNTIF('Resultats Reals'!$E$2:$E$33,AI36)&gt;0,2,0.5),IF(OR(AI36='Resultats Reals'!$C$26,AI36='Resultats Reals'!$C$27,COUNTIF('Resultats Reals'!$E$2:$E$33,AI36)&gt;0),1,0))+IF(AJ36='Resultats Reals'!$C$31,IF(COUNTIF('Resultats Reals'!$E$2:$E$33,AJ36)&gt;0,2,0.5),IF(OR(AJ36='Resultats Reals'!$C$29,AJ36='Resultats Reals'!$C$30,COUNTIF('Resultats Reals'!$E$2:$E$33,AJ36)&gt;0),1,0))+IF(AK36='Resultats Reals'!$C$34,IF(COUNTIF('Resultats Reals'!$E$2:$E$33,AK36)&gt;0,2,0.5),IF(OR(AK36='Resultats Reals'!$C$32,AK36='Resultats Reals'!$C$33,COUNTIF('Resultats Reals'!$E$2:$E$33,AK36)&gt;0),1,0))+IF(AL36='Resultats Reals'!$C$37,IF(COUNTIF('Resultats Reals'!$E$2:$E$33,AL36)&gt;0,2,0.5),IF(OR(AL36='Resultats Reals'!$C$35,AL36='Resultats Reals'!$C$36,COUNTIF('Resultats Reals'!$E$2:$E$33,AL36)&gt;0),1,0))</f>
        <v>14</v>
      </c>
      <c r="BX36">
        <f>IF(COUNTIF('Resultats Reals'!$F$2:$F$17,AM36)&gt;0,1,0)+IF(COUNTIF('Resultats Reals'!$F$2:$F$17,AN36)&gt;0,1,0)+IF(COUNTIF('Resultats Reals'!$F$2:$F$17,AO36)&gt;0,1,0)+IF(COUNTIF('Resultats Reals'!$F$2:$F$17,AP36)&gt;0,1,0)+IF(COUNTIF('Resultats Reals'!$F$2:$F$17,AQ36)&gt;0,1,0)+IF(COUNTIF('Resultats Reals'!$F$2:$F$17,AR36)&gt;0,1,0)+IF(COUNTIF('Resultats Reals'!$F$2:$F$17,AS36)&gt;0,1,0)+IF(COUNTIF('Resultats Reals'!$F$2:$F$17,AT36)&gt;0,1,0)+IF(COUNTIF('Resultats Reals'!$F$2:$F$17,AU36)&gt;0,1,0)+IF(COUNTIF('Resultats Reals'!$F$2:$F$17,AV36)&gt;0,1,0)+IF(COUNTIF('Resultats Reals'!$F$2:$F$17,AW36)&gt;0,1,0)+IF(COUNTIF('Resultats Reals'!$F$2:$F$17,AX36)&gt;0,1,0)+IF(COUNTIF('Resultats Reals'!$F$2:$F$17,AY36)&gt;0,1,0)+IF(COUNTIF('Resultats Reals'!$F$2:$F$17,AZ36)&gt;0,1,0)+IF(COUNTIF('Resultats Reals'!$F$2:$F$17,BA36)&gt;0,1,0)+IF(COUNTIF('Resultats Reals'!$F$2:$F$17,BB36)&gt;0,1,0)</f>
        <v>9</v>
      </c>
      <c r="BY36">
        <f>IF(COUNTIF('Resultats Reals'!$G$2:$G$9,BC36)&gt;0,1,0)+IF(COUNTIF('Resultats Reals'!$G$2:$G$9,BD36)&gt;0,1,0)+IF(COUNTIF('Resultats Reals'!$G$2:$G$9,BE36)&gt;0,1,0)+IF(COUNTIF('Resultats Reals'!$G$2:$G$9,BF36)&gt;0,1,0)+IF(COUNTIF('Resultats Reals'!$G$2:$G$9,BG36)&gt;0,1,0)+IF(COUNTIF('Resultats Reals'!$G$2:$G$9,BH36)&gt;0,1,0)+IF(COUNTIF('Resultats Reals'!$G$2:$G$9,BI36)&gt;0,1,0)+IF(COUNTIF('Resultats Reals'!$G$2:$G$9,BJ36)&gt;0,1,0)</f>
        <v>4</v>
      </c>
      <c r="BZ36">
        <f>IF(COUNTIF('Resultats Reals'!$H$2:$H$5,BK36)&gt;0,1,0)+IF(COUNTIF('Resultats Reals'!$H$2:$H$5,BL36)&gt;0,1,0)+IF(COUNTIF('Resultats Reals'!$H$2:$H$5,BM36)&gt;0,1,0)+IF(COUNTIF('Resultats Reals'!$H$2:$H$5,BN36)&gt;0,1,0)</f>
        <v>3</v>
      </c>
      <c r="CA36">
        <f>IF(COUNTIF('Resultats Reals'!$I$2:$I$3,BO36)&gt;0,3,0)+IF(COUNTIF('Resultats Reals'!$I$2:$I$3,BP36)&gt;0,3,0)</f>
        <v>0</v>
      </c>
      <c r="CB36">
        <f>IF(BQ36='Resultats Reals'!$J$2,5,0)</f>
        <v>0</v>
      </c>
      <c r="CC36">
        <f>IF(BS36='Resultats Reals'!$K$2,5,0)</f>
        <v>0</v>
      </c>
      <c r="CD36">
        <f>IFERROR(VLOOKUP(BT36,'Resultats Reals'!$N$2:$O$100,2,FALSE),0)</f>
        <v>8</v>
      </c>
      <c r="CE36">
        <f>IF(BR36='Resultats Reals'!$L$2,5,0)</f>
        <v>0</v>
      </c>
      <c r="CF36" s="7">
        <f t="shared" si="0"/>
        <v>70</v>
      </c>
    </row>
    <row r="37" spans="1:84" x14ac:dyDescent="0.25">
      <c r="A37" t="s">
        <v>167</v>
      </c>
      <c r="B37" t="s">
        <v>85</v>
      </c>
      <c r="C37" t="s">
        <v>86</v>
      </c>
      <c r="D37" t="s">
        <v>87</v>
      </c>
      <c r="E37" t="s">
        <v>88</v>
      </c>
      <c r="F37" t="s">
        <v>101</v>
      </c>
      <c r="G37" t="s">
        <v>90</v>
      </c>
      <c r="H37" t="s">
        <v>91</v>
      </c>
      <c r="I37" t="s">
        <v>92</v>
      </c>
      <c r="J37" t="s">
        <v>93</v>
      </c>
      <c r="K37" t="s">
        <v>94</v>
      </c>
      <c r="L37" t="s">
        <v>95</v>
      </c>
      <c r="M37" t="s">
        <v>96</v>
      </c>
      <c r="N37" t="s">
        <v>97</v>
      </c>
      <c r="O37" t="s">
        <v>110</v>
      </c>
      <c r="P37" t="s">
        <v>99</v>
      </c>
      <c r="Q37" t="s">
        <v>100</v>
      </c>
      <c r="R37" t="s">
        <v>89</v>
      </c>
      <c r="S37" t="s">
        <v>102</v>
      </c>
      <c r="T37" t="s">
        <v>114</v>
      </c>
      <c r="U37" t="s">
        <v>104</v>
      </c>
      <c r="V37" t="s">
        <v>105</v>
      </c>
      <c r="W37" t="s">
        <v>106</v>
      </c>
      <c r="X37" t="s">
        <v>118</v>
      </c>
      <c r="Y37" t="s">
        <v>108</v>
      </c>
      <c r="Z37" t="s">
        <v>109</v>
      </c>
      <c r="AA37" t="s">
        <v>98</v>
      </c>
      <c r="AB37" t="s">
        <v>245</v>
      </c>
      <c r="AC37" t="s">
        <v>111</v>
      </c>
      <c r="AD37" t="s">
        <v>126</v>
      </c>
      <c r="AE37" t="s">
        <v>113</v>
      </c>
      <c r="AF37" t="s">
        <v>103</v>
      </c>
      <c r="AG37" t="s">
        <v>115</v>
      </c>
      <c r="AH37" t="s">
        <v>116</v>
      </c>
      <c r="AI37" t="s">
        <v>117</v>
      </c>
      <c r="AJ37" t="s">
        <v>107</v>
      </c>
      <c r="AK37" t="s">
        <v>119</v>
      </c>
      <c r="AL37" t="s">
        <v>120</v>
      </c>
      <c r="AM37" t="s">
        <v>93</v>
      </c>
      <c r="AN37" t="s">
        <v>88</v>
      </c>
      <c r="AO37" t="s">
        <v>100</v>
      </c>
      <c r="AP37" t="s">
        <v>90</v>
      </c>
      <c r="AQ37" t="s">
        <v>95</v>
      </c>
      <c r="AR37" t="s">
        <v>94</v>
      </c>
      <c r="AS37" t="s">
        <v>96</v>
      </c>
      <c r="AT37" t="s">
        <v>97</v>
      </c>
      <c r="AU37" t="s">
        <v>109</v>
      </c>
      <c r="AV37" t="s">
        <v>108</v>
      </c>
      <c r="AW37" t="s">
        <v>102</v>
      </c>
      <c r="AX37" t="s">
        <v>86</v>
      </c>
      <c r="AY37" t="s">
        <v>101</v>
      </c>
      <c r="AZ37" t="s">
        <v>91</v>
      </c>
      <c r="BA37" t="s">
        <v>92</v>
      </c>
      <c r="BB37" t="s">
        <v>106</v>
      </c>
      <c r="BC37" t="s">
        <v>93</v>
      </c>
      <c r="BD37" t="s">
        <v>88</v>
      </c>
      <c r="BE37" t="s">
        <v>100</v>
      </c>
      <c r="BF37" t="s">
        <v>90</v>
      </c>
      <c r="BG37" t="s">
        <v>95</v>
      </c>
      <c r="BH37" t="s">
        <v>94</v>
      </c>
      <c r="BI37" t="s">
        <v>96</v>
      </c>
      <c r="BJ37" t="s">
        <v>97</v>
      </c>
      <c r="BK37" t="s">
        <v>93</v>
      </c>
      <c r="BL37" t="s">
        <v>88</v>
      </c>
      <c r="BM37" t="s">
        <v>94</v>
      </c>
      <c r="BN37" t="s">
        <v>97</v>
      </c>
      <c r="BO37" t="s">
        <v>93</v>
      </c>
      <c r="BP37" t="s">
        <v>88</v>
      </c>
      <c r="BQ37" t="s">
        <v>93</v>
      </c>
      <c r="BS37" t="s">
        <v>121</v>
      </c>
      <c r="BT37" t="s">
        <v>128</v>
      </c>
      <c r="BU37">
        <f>IF(C37='Resultats Reals'!$C$2,2,IF(OR(C37='Resultats Reals'!$C$3,COUNTIF('Resultats Reals'!$E$2:$E$33,C37)&gt;0),1,0))+IF(D37='Resultats Reals'!$C$5,2,IF(OR(D37='Resultats Reals'!$C$6,COUNTIF('Resultats Reals'!$E$2:$E$33,D37)&gt;0),1,0))+IF(E37='Resultats Reals'!$C$8,2,IF(OR(E37='Resultats Reals'!$C$9,COUNTIF('Resultats Reals'!$E$2:$E$33,E37)&gt;0),1,0))+IF(F37='Resultats Reals'!$C$11,2,IF(OR(F37='Resultats Reals'!$C$12,COUNTIF('Resultats Reals'!$E$2:$E$33,F37)&gt;0),1,0))+IF(G37='Resultats Reals'!$C$14,2,IF(OR(G37='Resultats Reals'!$C$15,COUNTIF('Resultats Reals'!$E$2:$E$33,G37)&gt;0),1,0))+IF(H37='Resultats Reals'!$C$17,2,IF(OR(H37='Resultats Reals'!$C$18,COUNTIF('Resultats Reals'!$E$2:$E$33,H37)&gt;0),1,0))+IF(I37='Resultats Reals'!$C$20,2,IF(OR(I37='Resultats Reals'!$C$21,COUNTIF('Resultats Reals'!$E$2:$E$33,I37)&gt;0),1,0))+IF(J37='Resultats Reals'!$C$23,2,IF(OR(J37='Resultats Reals'!$C$24,COUNTIF('Resultats Reals'!$E$2:$E$33,J37)&gt;0),1,0))+IF(K37='Resultats Reals'!$C$26,2,IF(OR(K37='Resultats Reals'!$C$27,COUNTIF('Resultats Reals'!$E$2:$E$33,K37)&gt;0),1,0))+IF(L37='Resultats Reals'!$C$29,2,IF(OR(L37='Resultats Reals'!$C$30,COUNTIF('Resultats Reals'!$E$2:$E$33,L37)&gt;0),1,0))+IF(M37='Resultats Reals'!$C$32,2,IF(OR(M37='Resultats Reals'!$C$33,COUNTIF('Resultats Reals'!$E$2:$E$33,M37)&gt;0),1,0))+IF(N37='Resultats Reals'!$C$35,2,IF(OR(N37='Resultats Reals'!$C$36,COUNTIF('Resultats Reals'!$E$2:$E$33,N37)&gt;0),1,0))</f>
        <v>21</v>
      </c>
      <c r="BV37">
        <f>IF(O37='Resultats Reals'!$C$3,2,IF(OR(O37='Resultats Reals'!$C$2,COUNTIF('Resultats Reals'!$E$2:$E$33,O37)&gt;0),1,0))+IF(P37='Resultats Reals'!$C$6,2,IF(OR(P37='Resultats Reals'!$C$5,COUNTIF('Resultats Reals'!$E$2:$E$33,P37)&gt;0),1,0))+IF(Q37='Resultats Reals'!$C$9,2,IF(OR(Q37='Resultats Reals'!$C$8,COUNTIF('Resultats Reals'!$E$2:$E$33,Q37)&gt;0),1,0))+IF(R37='Resultats Reals'!$C$12,2,IF(OR(R37='Resultats Reals'!$C$11,COUNTIF('Resultats Reals'!$E$2:$E$33,R37)&gt;0),1,0))+IF(S37='Resultats Reals'!$C$15,2,IF(OR(S37='Resultats Reals'!$C$14,COUNTIF('Resultats Reals'!$E$2:$E$33,S37)&gt;0),1,0))+IF(T37='Resultats Reals'!$C$18,2,IF(OR(T37='Resultats Reals'!$C$17,COUNTIF('Resultats Reals'!$E$2:$E$33,T37)&gt;0),1,0))+IF(U37='Resultats Reals'!$C$21,2,IF(OR(U37='Resultats Reals'!$C$20,COUNTIF('Resultats Reals'!$E$2:$E$33,U37)&gt;0),1,0))+IF(V37='Resultats Reals'!$C$24,2,IF(OR(V37='Resultats Reals'!$C$23,COUNTIF('Resultats Reals'!$E$2:$E$33,V37)&gt;0),1,0))+IF(W37='Resultats Reals'!$C$27,2,IF(OR(W37='Resultats Reals'!$C$26,COUNTIF('Resultats Reals'!$E$2:$E$33,W37)&gt;0),1,0))+IF(X37='Resultats Reals'!$C$30,2,IF(OR(X37='Resultats Reals'!$C$29,COUNTIF('Resultats Reals'!$E$2:$E$33,X37)&gt;0),1,0))+IF(Y37='Resultats Reals'!$C$33,2,IF(OR(Y37='Resultats Reals'!$C$32,COUNTIF('Resultats Reals'!$E$2:$E$33,Y37)&gt;0),1,0))+IF(Z37='Resultats Reals'!$C$36,2,IF(OR(Z37='Resultats Reals'!$C$35,COUNTIF('Resultats Reals'!$E$2:$E$33,Z37)&gt;0),1,0))</f>
        <v>15</v>
      </c>
      <c r="BW37">
        <f>IF(AA37='Resultats Reals'!$C$4,IF(COUNTIF('Resultats Reals'!$E$2:$E$33,AA37)&gt;0,2,0.5),IF(OR(AA37='Resultats Reals'!$C$2,AA37='Resultats Reals'!$C$3,COUNTIF('Resultats Reals'!$E$2:$E$33,AA37)&gt;0),1,0))+IF(AB37='Resultats Reals'!$C$7,IF(COUNTIF('Resultats Reals'!$E$2:$E$33,AB37)&gt;0,2,0.5),IF(OR(AB37='Resultats Reals'!$C$5,AB37='Resultats Reals'!$C$6,COUNTIF('Resultats Reals'!$E$2:$E$33,AB37)&gt;0),1,0))+IF(AC37='Resultats Reals'!$C$10,IF(COUNTIF('Resultats Reals'!$E$2:$E$33,AC37)&gt;0,2,0.5),IF(OR(AC37='Resultats Reals'!$C$8,AC37='Resultats Reals'!$C$9,COUNTIF('Resultats Reals'!$E$2:$E$33,AC37)&gt;0),1,0))+IF(AD37='Resultats Reals'!$C$13,IF(COUNTIF('Resultats Reals'!$E$2:$E$33,AD37)&gt;0,2,0.5),IF(OR(AD37='Resultats Reals'!$C$11,AD37='Resultats Reals'!$C$12,COUNTIF('Resultats Reals'!$E$2:$E$33,AD37)&gt;0),1,0))+IF(AE37='Resultats Reals'!$C$16,IF(COUNTIF('Resultats Reals'!$E$2:$E$33,AE37)&gt;0,2,0.5),IF(OR(AE37='Resultats Reals'!$C$14,AE37='Resultats Reals'!$C$15,COUNTIF('Resultats Reals'!$E$2:$E$33,AE37)&gt;0),1,0))+IF(AF37='Resultats Reals'!$C$19,IF(COUNTIF('Resultats Reals'!$E$2:$E$33,AF37)&gt;0,2,0.5),IF(OR(AF37='Resultats Reals'!$C$17,AF37='Resultats Reals'!$C$18,COUNTIF('Resultats Reals'!$E$2:$E$33,AF37)&gt;0),1,0))+IF(AG37='Resultats Reals'!$C$22,IF(COUNTIF('Resultats Reals'!$E$2:$E$33,AG37)&gt;0,2,0.5),IF(OR(AG37='Resultats Reals'!$C$20,AG37='Resultats Reals'!$C$21,COUNTIF('Resultats Reals'!$E$2:$E$33,AG37)&gt;0),1,0))+IF(AH37='Resultats Reals'!$C$25,IF(COUNTIF('Resultats Reals'!$E$2:$E$33,AH37)&gt;0,2,0.5),IF(OR(AH37='Resultats Reals'!$C$23,AH37='Resultats Reals'!$C$24,COUNTIF('Resultats Reals'!$E$2:$E$33,AH37)&gt;0),1,0))+IF(AI37='Resultats Reals'!$C$28,IF(COUNTIF('Resultats Reals'!$E$2:$E$33,AI37)&gt;0,2,0.5),IF(OR(AI37='Resultats Reals'!$C$26,AI37='Resultats Reals'!$C$27,COUNTIF('Resultats Reals'!$E$2:$E$33,AI37)&gt;0),1,0))+IF(AJ37='Resultats Reals'!$C$31,IF(COUNTIF('Resultats Reals'!$E$2:$E$33,AJ37)&gt;0,2,0.5),IF(OR(AJ37='Resultats Reals'!$C$29,AJ37='Resultats Reals'!$C$30,COUNTIF('Resultats Reals'!$E$2:$E$33,AJ37)&gt;0),1,0))+IF(AK37='Resultats Reals'!$C$34,IF(COUNTIF('Resultats Reals'!$E$2:$E$33,AK37)&gt;0,2,0.5),IF(OR(AK37='Resultats Reals'!$C$32,AK37='Resultats Reals'!$C$33,COUNTIF('Resultats Reals'!$E$2:$E$33,AK37)&gt;0),1,0))+IF(AL37='Resultats Reals'!$C$37,IF(COUNTIF('Resultats Reals'!$E$2:$E$33,AL37)&gt;0,2,0.5),IF(OR(AL37='Resultats Reals'!$C$35,AL37='Resultats Reals'!$C$36,COUNTIF('Resultats Reals'!$E$2:$E$33,AL37)&gt;0),1,0))</f>
        <v>11.5</v>
      </c>
      <c r="BX37">
        <f>IF(COUNTIF('Resultats Reals'!$F$2:$F$17,AM37)&gt;0,1,0)+IF(COUNTIF('Resultats Reals'!$F$2:$F$17,AN37)&gt;0,1,0)+IF(COUNTIF('Resultats Reals'!$F$2:$F$17,AO37)&gt;0,1,0)+IF(COUNTIF('Resultats Reals'!$F$2:$F$17,AP37)&gt;0,1,0)+IF(COUNTIF('Resultats Reals'!$F$2:$F$17,AQ37)&gt;0,1,0)+IF(COUNTIF('Resultats Reals'!$F$2:$F$17,AR37)&gt;0,1,0)+IF(COUNTIF('Resultats Reals'!$F$2:$F$17,AS37)&gt;0,1,0)+IF(COUNTIF('Resultats Reals'!$F$2:$F$17,AT37)&gt;0,1,0)+IF(COUNTIF('Resultats Reals'!$F$2:$F$17,AU37)&gt;0,1,0)+IF(COUNTIF('Resultats Reals'!$F$2:$F$17,AV37)&gt;0,1,0)+IF(COUNTIF('Resultats Reals'!$F$2:$F$17,AW37)&gt;0,1,0)+IF(COUNTIF('Resultats Reals'!$F$2:$F$17,AX37)&gt;0,1,0)+IF(COUNTIF('Resultats Reals'!$F$2:$F$17,AY37)&gt;0,1,0)+IF(COUNTIF('Resultats Reals'!$F$2:$F$17,AZ37)&gt;0,1,0)+IF(COUNTIF('Resultats Reals'!$F$2:$F$17,BA37)&gt;0,1,0)+IF(COUNTIF('Resultats Reals'!$F$2:$F$17,BB37)&gt;0,1,0)</f>
        <v>10</v>
      </c>
      <c r="BY37">
        <f>IF(COUNTIF('Resultats Reals'!$G$2:$G$9,BC37)&gt;0,1,0)+IF(COUNTIF('Resultats Reals'!$G$2:$G$9,BD37)&gt;0,1,0)+IF(COUNTIF('Resultats Reals'!$G$2:$G$9,BE37)&gt;0,1,0)+IF(COUNTIF('Resultats Reals'!$G$2:$G$9,BF37)&gt;0,1,0)+IF(COUNTIF('Resultats Reals'!$G$2:$G$9,BG37)&gt;0,1,0)+IF(COUNTIF('Resultats Reals'!$G$2:$G$9,BH37)&gt;0,1,0)+IF(COUNTIF('Resultats Reals'!$G$2:$G$9,BI37)&gt;0,1,0)+IF(COUNTIF('Resultats Reals'!$G$2:$G$9,BJ37)&gt;0,1,0)</f>
        <v>5</v>
      </c>
      <c r="BZ37">
        <f>IF(COUNTIF('Resultats Reals'!$H$2:$H$5,BK37)&gt;0,1,0)+IF(COUNTIF('Resultats Reals'!$H$2:$H$5,BL37)&gt;0,1,0)+IF(COUNTIF('Resultats Reals'!$H$2:$H$5,BM37)&gt;0,1,0)+IF(COUNTIF('Resultats Reals'!$H$2:$H$5,BN37)&gt;0,1,0)</f>
        <v>3</v>
      </c>
      <c r="CA37">
        <f>IF(COUNTIF('Resultats Reals'!$I$2:$I$3,BO37)&gt;0,3,0)+IF(COUNTIF('Resultats Reals'!$I$2:$I$3,BP37)&gt;0,3,0)</f>
        <v>0</v>
      </c>
      <c r="CB37">
        <f>IF(BQ37='Resultats Reals'!$J$2,5,0)</f>
        <v>0</v>
      </c>
      <c r="CC37">
        <f>IF(BS37='Resultats Reals'!$K$2,5,0)</f>
        <v>0</v>
      </c>
      <c r="CD37">
        <f>IFERROR(VLOOKUP(BT37,'Resultats Reals'!$N$2:$O$100,2,FALSE),0)</f>
        <v>8</v>
      </c>
      <c r="CE37">
        <f>IF(BR37='Resultats Reals'!$L$2,5,0)</f>
        <v>0</v>
      </c>
      <c r="CF37" s="7">
        <f t="shared" si="0"/>
        <v>73.5</v>
      </c>
    </row>
    <row r="38" spans="1:84" x14ac:dyDescent="0.25">
      <c r="A38" t="s">
        <v>202</v>
      </c>
      <c r="B38" t="s">
        <v>135</v>
      </c>
      <c r="C38" t="s">
        <v>86</v>
      </c>
      <c r="D38" t="s">
        <v>87</v>
      </c>
      <c r="E38" t="s">
        <v>88</v>
      </c>
      <c r="F38" t="s">
        <v>89</v>
      </c>
      <c r="G38" t="s">
        <v>90</v>
      </c>
      <c r="H38" t="s">
        <v>91</v>
      </c>
      <c r="I38" t="s">
        <v>92</v>
      </c>
      <c r="J38" t="s">
        <v>93</v>
      </c>
      <c r="K38" t="s">
        <v>94</v>
      </c>
      <c r="L38" t="s">
        <v>95</v>
      </c>
      <c r="M38" t="s">
        <v>96</v>
      </c>
      <c r="N38" t="s">
        <v>97</v>
      </c>
      <c r="O38" t="s">
        <v>98</v>
      </c>
      <c r="P38" t="s">
        <v>245</v>
      </c>
      <c r="Q38" t="s">
        <v>100</v>
      </c>
      <c r="R38" t="s">
        <v>112</v>
      </c>
      <c r="S38" t="s">
        <v>102</v>
      </c>
      <c r="T38" t="s">
        <v>114</v>
      </c>
      <c r="U38" t="s">
        <v>104</v>
      </c>
      <c r="V38" t="s">
        <v>105</v>
      </c>
      <c r="W38" t="s">
        <v>117</v>
      </c>
      <c r="X38" t="s">
        <v>107</v>
      </c>
      <c r="Y38" t="s">
        <v>108</v>
      </c>
      <c r="Z38" t="s">
        <v>109</v>
      </c>
      <c r="AA38" t="s">
        <v>203</v>
      </c>
      <c r="AB38" t="s">
        <v>125</v>
      </c>
      <c r="AC38" t="s">
        <v>111</v>
      </c>
      <c r="AD38" t="s">
        <v>101</v>
      </c>
      <c r="AE38" t="s">
        <v>113</v>
      </c>
      <c r="AF38" t="s">
        <v>103</v>
      </c>
      <c r="AG38" t="s">
        <v>115</v>
      </c>
      <c r="AH38" t="s">
        <v>116</v>
      </c>
      <c r="AI38" t="s">
        <v>106</v>
      </c>
      <c r="AJ38" t="s">
        <v>118</v>
      </c>
      <c r="AK38" t="s">
        <v>119</v>
      </c>
      <c r="AL38" t="s">
        <v>120</v>
      </c>
      <c r="AM38" t="s">
        <v>90</v>
      </c>
      <c r="AN38" t="s">
        <v>94</v>
      </c>
      <c r="AO38" t="s">
        <v>98</v>
      </c>
      <c r="AP38" t="s">
        <v>100</v>
      </c>
      <c r="AQ38" t="s">
        <v>88</v>
      </c>
      <c r="AR38" t="s">
        <v>117</v>
      </c>
      <c r="AS38" t="s">
        <v>86</v>
      </c>
      <c r="AT38" t="s">
        <v>97</v>
      </c>
      <c r="AU38" t="s">
        <v>95</v>
      </c>
      <c r="AV38" t="s">
        <v>112</v>
      </c>
      <c r="AW38" t="s">
        <v>87</v>
      </c>
      <c r="AX38" t="s">
        <v>96</v>
      </c>
      <c r="AY38" t="s">
        <v>92</v>
      </c>
      <c r="AZ38" t="s">
        <v>89</v>
      </c>
      <c r="BA38" t="s">
        <v>93</v>
      </c>
      <c r="BB38" t="s">
        <v>108</v>
      </c>
      <c r="BC38" t="s">
        <v>92</v>
      </c>
      <c r="BD38" t="s">
        <v>93</v>
      </c>
      <c r="BE38" t="s">
        <v>95</v>
      </c>
      <c r="BF38" t="s">
        <v>96</v>
      </c>
      <c r="BG38" t="s">
        <v>88</v>
      </c>
      <c r="BH38" t="s">
        <v>90</v>
      </c>
      <c r="BI38" t="s">
        <v>100</v>
      </c>
      <c r="BJ38" t="s">
        <v>97</v>
      </c>
      <c r="BK38" t="s">
        <v>90</v>
      </c>
      <c r="BL38" t="s">
        <v>93</v>
      </c>
      <c r="BM38" t="s">
        <v>97</v>
      </c>
      <c r="BN38" t="s">
        <v>95</v>
      </c>
      <c r="BO38" t="s">
        <v>95</v>
      </c>
      <c r="BP38" t="s">
        <v>90</v>
      </c>
      <c r="BQ38" t="s">
        <v>95</v>
      </c>
      <c r="BS38" t="s">
        <v>157</v>
      </c>
      <c r="BT38" t="s">
        <v>145</v>
      </c>
      <c r="BU38">
        <f>IF(C38='Resultats Reals'!$C$2,2,IF(OR(C38='Resultats Reals'!$C$3,COUNTIF('Resultats Reals'!$E$2:$E$33,C38)&gt;0),1,0))+IF(D38='Resultats Reals'!$C$5,2,IF(OR(D38='Resultats Reals'!$C$6,COUNTIF('Resultats Reals'!$E$2:$E$33,D38)&gt;0),1,0))+IF(E38='Resultats Reals'!$C$8,2,IF(OR(E38='Resultats Reals'!$C$9,COUNTIF('Resultats Reals'!$E$2:$E$33,E38)&gt;0),1,0))+IF(F38='Resultats Reals'!$C$11,2,IF(OR(F38='Resultats Reals'!$C$12,COUNTIF('Resultats Reals'!$E$2:$E$33,F38)&gt;0),1,0))+IF(G38='Resultats Reals'!$C$14,2,IF(OR(G38='Resultats Reals'!$C$15,COUNTIF('Resultats Reals'!$E$2:$E$33,G38)&gt;0),1,0))+IF(H38='Resultats Reals'!$C$17,2,IF(OR(H38='Resultats Reals'!$C$18,COUNTIF('Resultats Reals'!$E$2:$E$33,H38)&gt;0),1,0))+IF(I38='Resultats Reals'!$C$20,2,IF(OR(I38='Resultats Reals'!$C$21,COUNTIF('Resultats Reals'!$E$2:$E$33,I38)&gt;0),1,0))+IF(J38='Resultats Reals'!$C$23,2,IF(OR(J38='Resultats Reals'!$C$24,COUNTIF('Resultats Reals'!$E$2:$E$33,J38)&gt;0),1,0))+IF(K38='Resultats Reals'!$C$26,2,IF(OR(K38='Resultats Reals'!$C$27,COUNTIF('Resultats Reals'!$E$2:$E$33,K38)&gt;0),1,0))+IF(L38='Resultats Reals'!$C$29,2,IF(OR(L38='Resultats Reals'!$C$30,COUNTIF('Resultats Reals'!$E$2:$E$33,L38)&gt;0),1,0))+IF(M38='Resultats Reals'!$C$32,2,IF(OR(M38='Resultats Reals'!$C$33,COUNTIF('Resultats Reals'!$E$2:$E$33,M38)&gt;0),1,0))+IF(N38='Resultats Reals'!$C$35,2,IF(OR(N38='Resultats Reals'!$C$36,COUNTIF('Resultats Reals'!$E$2:$E$33,N38)&gt;0),1,0))</f>
        <v>23</v>
      </c>
      <c r="BV38">
        <f>IF(O38='Resultats Reals'!$C$3,2,IF(OR(O38='Resultats Reals'!$C$2,COUNTIF('Resultats Reals'!$E$2:$E$33,O38)&gt;0),1,0))+IF(P38='Resultats Reals'!$C$6,2,IF(OR(P38='Resultats Reals'!$C$5,COUNTIF('Resultats Reals'!$E$2:$E$33,P38)&gt;0),1,0))+IF(Q38='Resultats Reals'!$C$9,2,IF(OR(Q38='Resultats Reals'!$C$8,COUNTIF('Resultats Reals'!$E$2:$E$33,Q38)&gt;0),1,0))+IF(R38='Resultats Reals'!$C$12,2,IF(OR(R38='Resultats Reals'!$C$11,COUNTIF('Resultats Reals'!$E$2:$E$33,R38)&gt;0),1,0))+IF(S38='Resultats Reals'!$C$15,2,IF(OR(S38='Resultats Reals'!$C$14,COUNTIF('Resultats Reals'!$E$2:$E$33,S38)&gt;0),1,0))+IF(T38='Resultats Reals'!$C$18,2,IF(OR(T38='Resultats Reals'!$C$17,COUNTIF('Resultats Reals'!$E$2:$E$33,T38)&gt;0),1,0))+IF(U38='Resultats Reals'!$C$21,2,IF(OR(U38='Resultats Reals'!$C$20,COUNTIF('Resultats Reals'!$E$2:$E$33,U38)&gt;0),1,0))+IF(V38='Resultats Reals'!$C$24,2,IF(OR(V38='Resultats Reals'!$C$23,COUNTIF('Resultats Reals'!$E$2:$E$33,V38)&gt;0),1,0))+IF(W38='Resultats Reals'!$C$27,2,IF(OR(W38='Resultats Reals'!$C$26,COUNTIF('Resultats Reals'!$E$2:$E$33,W38)&gt;0),1,0))+IF(X38='Resultats Reals'!$C$30,2,IF(OR(X38='Resultats Reals'!$C$29,COUNTIF('Resultats Reals'!$E$2:$E$33,X38)&gt;0),1,0))+IF(Y38='Resultats Reals'!$C$33,2,IF(OR(Y38='Resultats Reals'!$C$32,COUNTIF('Resultats Reals'!$E$2:$E$33,Y38)&gt;0),1,0))+IF(Z38='Resultats Reals'!$C$36,2,IF(OR(Z38='Resultats Reals'!$C$35,COUNTIF('Resultats Reals'!$E$2:$E$33,Z38)&gt;0),1,0))</f>
        <v>16</v>
      </c>
      <c r="BW38">
        <f>IF(AA38='Resultats Reals'!$C$4,IF(COUNTIF('Resultats Reals'!$E$2:$E$33,AA38)&gt;0,2,0.5),IF(OR(AA38='Resultats Reals'!$C$2,AA38='Resultats Reals'!$C$3,COUNTIF('Resultats Reals'!$E$2:$E$33,AA38)&gt;0),1,0))+IF(AB38='Resultats Reals'!$C$7,IF(COUNTIF('Resultats Reals'!$E$2:$E$33,AB38)&gt;0,2,0.5),IF(OR(AB38='Resultats Reals'!$C$5,AB38='Resultats Reals'!$C$6,COUNTIF('Resultats Reals'!$E$2:$E$33,AB38)&gt;0),1,0))+IF(AC38='Resultats Reals'!$C$10,IF(COUNTIF('Resultats Reals'!$E$2:$E$33,AC38)&gt;0,2,0.5),IF(OR(AC38='Resultats Reals'!$C$8,AC38='Resultats Reals'!$C$9,COUNTIF('Resultats Reals'!$E$2:$E$33,AC38)&gt;0),1,0))+IF(AD38='Resultats Reals'!$C$13,IF(COUNTIF('Resultats Reals'!$E$2:$E$33,AD38)&gt;0,2,0.5),IF(OR(AD38='Resultats Reals'!$C$11,AD38='Resultats Reals'!$C$12,COUNTIF('Resultats Reals'!$E$2:$E$33,AD38)&gt;0),1,0))+IF(AE38='Resultats Reals'!$C$16,IF(COUNTIF('Resultats Reals'!$E$2:$E$33,AE38)&gt;0,2,0.5),IF(OR(AE38='Resultats Reals'!$C$14,AE38='Resultats Reals'!$C$15,COUNTIF('Resultats Reals'!$E$2:$E$33,AE38)&gt;0),1,0))+IF(AF38='Resultats Reals'!$C$19,IF(COUNTIF('Resultats Reals'!$E$2:$E$33,AF38)&gt;0,2,0.5),IF(OR(AF38='Resultats Reals'!$C$17,AF38='Resultats Reals'!$C$18,COUNTIF('Resultats Reals'!$E$2:$E$33,AF38)&gt;0),1,0))+IF(AG38='Resultats Reals'!$C$22,IF(COUNTIF('Resultats Reals'!$E$2:$E$33,AG38)&gt;0,2,0.5),IF(OR(AG38='Resultats Reals'!$C$20,AG38='Resultats Reals'!$C$21,COUNTIF('Resultats Reals'!$E$2:$E$33,AG38)&gt;0),1,0))+IF(AH38='Resultats Reals'!$C$25,IF(COUNTIF('Resultats Reals'!$E$2:$E$33,AH38)&gt;0,2,0.5),IF(OR(AH38='Resultats Reals'!$C$23,AH38='Resultats Reals'!$C$24,COUNTIF('Resultats Reals'!$E$2:$E$33,AH38)&gt;0),1,0))+IF(AI38='Resultats Reals'!$C$28,IF(COUNTIF('Resultats Reals'!$E$2:$E$33,AI38)&gt;0,2,0.5),IF(OR(AI38='Resultats Reals'!$C$26,AI38='Resultats Reals'!$C$27,COUNTIF('Resultats Reals'!$E$2:$E$33,AI38)&gt;0),1,0))+IF(AJ38='Resultats Reals'!$C$31,IF(COUNTIF('Resultats Reals'!$E$2:$E$33,AJ38)&gt;0,2,0.5),IF(OR(AJ38='Resultats Reals'!$C$29,AJ38='Resultats Reals'!$C$30,COUNTIF('Resultats Reals'!$E$2:$E$33,AJ38)&gt;0),1,0))+IF(AK38='Resultats Reals'!$C$34,IF(COUNTIF('Resultats Reals'!$E$2:$E$33,AK38)&gt;0,2,0.5),IF(OR(AK38='Resultats Reals'!$C$32,AK38='Resultats Reals'!$C$33,COUNTIF('Resultats Reals'!$E$2:$E$33,AK38)&gt;0),1,0))+IF(AL38='Resultats Reals'!$C$37,IF(COUNTIF('Resultats Reals'!$E$2:$E$33,AL38)&gt;0,2,0.5),IF(OR(AL38='Resultats Reals'!$C$35,AL38='Resultats Reals'!$C$36,COUNTIF('Resultats Reals'!$E$2:$E$33,AL38)&gt;0),1,0))</f>
        <v>10</v>
      </c>
      <c r="BX38">
        <f>IF(COUNTIF('Resultats Reals'!$F$2:$F$17,AM38)&gt;0,1,0)+IF(COUNTIF('Resultats Reals'!$F$2:$F$17,AN38)&gt;0,1,0)+IF(COUNTIF('Resultats Reals'!$F$2:$F$17,AO38)&gt;0,1,0)+IF(COUNTIF('Resultats Reals'!$F$2:$F$17,AP38)&gt;0,1,0)+IF(COUNTIF('Resultats Reals'!$F$2:$F$17,AQ38)&gt;0,1,0)+IF(COUNTIF('Resultats Reals'!$F$2:$F$17,AR38)&gt;0,1,0)+IF(COUNTIF('Resultats Reals'!$F$2:$F$17,AS38)&gt;0,1,0)+IF(COUNTIF('Resultats Reals'!$F$2:$F$17,AT38)&gt;0,1,0)+IF(COUNTIF('Resultats Reals'!$F$2:$F$17,AU38)&gt;0,1,0)+IF(COUNTIF('Resultats Reals'!$F$2:$F$17,AV38)&gt;0,1,0)+IF(COUNTIF('Resultats Reals'!$F$2:$F$17,AW38)&gt;0,1,0)+IF(COUNTIF('Resultats Reals'!$F$2:$F$17,AX38)&gt;0,1,0)+IF(COUNTIF('Resultats Reals'!$F$2:$F$17,AY38)&gt;0,1,0)+IF(COUNTIF('Resultats Reals'!$F$2:$F$17,AZ38)&gt;0,1,0)+IF(COUNTIF('Resultats Reals'!$F$2:$F$17,BA38)&gt;0,1,0)+IF(COUNTIF('Resultats Reals'!$F$2:$F$17,BB38)&gt;0,1,0)</f>
        <v>14</v>
      </c>
      <c r="BY38">
        <f>IF(COUNTIF('Resultats Reals'!$G$2:$G$9,BC38)&gt;0,1,0)+IF(COUNTIF('Resultats Reals'!$G$2:$G$9,BD38)&gt;0,1,0)+IF(COUNTIF('Resultats Reals'!$G$2:$G$9,BE38)&gt;0,1,0)+IF(COUNTIF('Resultats Reals'!$G$2:$G$9,BF38)&gt;0,1,0)+IF(COUNTIF('Resultats Reals'!$G$2:$G$9,BG38)&gt;0,1,0)+IF(COUNTIF('Resultats Reals'!$G$2:$G$9,BH38)&gt;0,1,0)+IF(COUNTIF('Resultats Reals'!$G$2:$G$9,BI38)&gt;0,1,0)+IF(COUNTIF('Resultats Reals'!$G$2:$G$9,BJ38)&gt;0,1,0)</f>
        <v>5</v>
      </c>
      <c r="BZ38">
        <f>IF(COUNTIF('Resultats Reals'!$H$2:$H$5,BK38)&gt;0,1,0)+IF(COUNTIF('Resultats Reals'!$H$2:$H$5,BL38)&gt;0,1,0)+IF(COUNTIF('Resultats Reals'!$H$2:$H$5,BM38)&gt;0,1,0)+IF(COUNTIF('Resultats Reals'!$H$2:$H$5,BN38)&gt;0,1,0)</f>
        <v>3</v>
      </c>
      <c r="CA38">
        <f>IF(COUNTIF('Resultats Reals'!$I$2:$I$3,BO38)&gt;0,3,0)+IF(COUNTIF('Resultats Reals'!$I$2:$I$3,BP38)&gt;0,3,0)</f>
        <v>0</v>
      </c>
      <c r="CB38">
        <f>IF(BQ38='Resultats Reals'!$J$2,5,0)</f>
        <v>0</v>
      </c>
      <c r="CC38">
        <f>IF(BS38='Resultats Reals'!$K$2,5,0)</f>
        <v>0</v>
      </c>
      <c r="CD38">
        <f>IFERROR(VLOOKUP(BT38,'Resultats Reals'!$N$2:$O$100,2,FALSE),0)</f>
        <v>1</v>
      </c>
      <c r="CE38">
        <f>IF(BR38='Resultats Reals'!$L$2,5,0)</f>
        <v>0</v>
      </c>
      <c r="CF38" s="7">
        <f t="shared" si="0"/>
        <v>72</v>
      </c>
    </row>
    <row r="39" spans="1:84" x14ac:dyDescent="0.25">
      <c r="A39" t="s">
        <v>171</v>
      </c>
      <c r="B39" t="s">
        <v>172</v>
      </c>
      <c r="C39" t="s">
        <v>98</v>
      </c>
      <c r="D39" t="s">
        <v>87</v>
      </c>
      <c r="E39" t="s">
        <v>88</v>
      </c>
      <c r="F39" t="s">
        <v>112</v>
      </c>
      <c r="G39" t="s">
        <v>90</v>
      </c>
      <c r="H39" t="s">
        <v>91</v>
      </c>
      <c r="I39" t="s">
        <v>104</v>
      </c>
      <c r="J39" t="s">
        <v>93</v>
      </c>
      <c r="K39" t="s">
        <v>94</v>
      </c>
      <c r="L39" t="s">
        <v>95</v>
      </c>
      <c r="M39" t="s">
        <v>108</v>
      </c>
      <c r="N39" t="s">
        <v>109</v>
      </c>
      <c r="O39" t="s">
        <v>110</v>
      </c>
      <c r="P39" t="s">
        <v>245</v>
      </c>
      <c r="Q39" t="s">
        <v>100</v>
      </c>
      <c r="R39" t="s">
        <v>101</v>
      </c>
      <c r="S39" t="s">
        <v>102</v>
      </c>
      <c r="T39" t="s">
        <v>114</v>
      </c>
      <c r="U39" t="s">
        <v>92</v>
      </c>
      <c r="V39" t="s">
        <v>105</v>
      </c>
      <c r="W39" t="s">
        <v>117</v>
      </c>
      <c r="X39" t="s">
        <v>118</v>
      </c>
      <c r="Y39" t="s">
        <v>96</v>
      </c>
      <c r="Z39" t="s">
        <v>97</v>
      </c>
      <c r="AA39" t="s">
        <v>130</v>
      </c>
      <c r="AB39" t="s">
        <v>99</v>
      </c>
      <c r="AC39" t="s">
        <v>170</v>
      </c>
      <c r="AD39" t="s">
        <v>89</v>
      </c>
      <c r="AE39" t="s">
        <v>113</v>
      </c>
      <c r="AF39" t="s">
        <v>103</v>
      </c>
      <c r="AG39" t="s">
        <v>138</v>
      </c>
      <c r="AH39" t="s">
        <v>142</v>
      </c>
      <c r="AI39" t="s">
        <v>106</v>
      </c>
      <c r="AJ39" t="s">
        <v>107</v>
      </c>
      <c r="AK39" t="s">
        <v>127</v>
      </c>
      <c r="AL39" t="s">
        <v>120</v>
      </c>
      <c r="AM39" t="s">
        <v>98</v>
      </c>
      <c r="AN39" t="s">
        <v>105</v>
      </c>
      <c r="AO39" t="s">
        <v>88</v>
      </c>
      <c r="AP39" t="s">
        <v>112</v>
      </c>
      <c r="AQ39" t="s">
        <v>102</v>
      </c>
      <c r="AR39" t="s">
        <v>91</v>
      </c>
      <c r="AS39" t="s">
        <v>104</v>
      </c>
      <c r="AT39" t="s">
        <v>93</v>
      </c>
      <c r="AU39" t="s">
        <v>94</v>
      </c>
      <c r="AV39" t="s">
        <v>95</v>
      </c>
      <c r="AW39" t="s">
        <v>108</v>
      </c>
      <c r="AX39" t="s">
        <v>109</v>
      </c>
      <c r="AY39" t="s">
        <v>96</v>
      </c>
      <c r="AZ39" t="s">
        <v>97</v>
      </c>
      <c r="BA39" t="s">
        <v>117</v>
      </c>
      <c r="BB39" t="s">
        <v>100</v>
      </c>
      <c r="BC39" t="s">
        <v>93</v>
      </c>
      <c r="BD39" t="s">
        <v>94</v>
      </c>
      <c r="BE39" t="s">
        <v>88</v>
      </c>
      <c r="BF39" t="s">
        <v>102</v>
      </c>
      <c r="BG39" t="s">
        <v>95</v>
      </c>
      <c r="BH39" t="s">
        <v>117</v>
      </c>
      <c r="BI39" t="s">
        <v>109</v>
      </c>
      <c r="BJ39" t="s">
        <v>91</v>
      </c>
      <c r="BK39" t="s">
        <v>93</v>
      </c>
      <c r="BL39" t="s">
        <v>94</v>
      </c>
      <c r="BM39" t="s">
        <v>95</v>
      </c>
      <c r="BN39" t="s">
        <v>102</v>
      </c>
      <c r="BO39" t="s">
        <v>93</v>
      </c>
      <c r="BP39" t="s">
        <v>102</v>
      </c>
      <c r="BQ39" t="s">
        <v>102</v>
      </c>
      <c r="BS39" t="s">
        <v>161</v>
      </c>
      <c r="BT39" t="s">
        <v>154</v>
      </c>
      <c r="BU39">
        <f>IF(C39='Resultats Reals'!$C$2,2,IF(OR(C39='Resultats Reals'!$C$3,COUNTIF('Resultats Reals'!$E$2:$E$33,C39)&gt;0),1,0))+IF(D39='Resultats Reals'!$C$5,2,IF(OR(D39='Resultats Reals'!$C$6,COUNTIF('Resultats Reals'!$E$2:$E$33,D39)&gt;0),1,0))+IF(E39='Resultats Reals'!$C$8,2,IF(OR(E39='Resultats Reals'!$C$9,COUNTIF('Resultats Reals'!$E$2:$E$33,E39)&gt;0),1,0))+IF(F39='Resultats Reals'!$C$11,2,IF(OR(F39='Resultats Reals'!$C$12,COUNTIF('Resultats Reals'!$E$2:$E$33,F39)&gt;0),1,0))+IF(G39='Resultats Reals'!$C$14,2,IF(OR(G39='Resultats Reals'!$C$15,COUNTIF('Resultats Reals'!$E$2:$E$33,G39)&gt;0),1,0))+IF(H39='Resultats Reals'!$C$17,2,IF(OR(H39='Resultats Reals'!$C$18,COUNTIF('Resultats Reals'!$E$2:$E$33,H39)&gt;0),1,0))+IF(I39='Resultats Reals'!$C$20,2,IF(OR(I39='Resultats Reals'!$C$21,COUNTIF('Resultats Reals'!$E$2:$E$33,I39)&gt;0),1,0))+IF(J39='Resultats Reals'!$C$23,2,IF(OR(J39='Resultats Reals'!$C$24,COUNTIF('Resultats Reals'!$E$2:$E$33,J39)&gt;0),1,0))+IF(K39='Resultats Reals'!$C$26,2,IF(OR(K39='Resultats Reals'!$C$27,COUNTIF('Resultats Reals'!$E$2:$E$33,K39)&gt;0),1,0))+IF(L39='Resultats Reals'!$C$29,2,IF(OR(L39='Resultats Reals'!$C$30,COUNTIF('Resultats Reals'!$E$2:$E$33,L39)&gt;0),1,0))+IF(M39='Resultats Reals'!$C$32,2,IF(OR(M39='Resultats Reals'!$C$33,COUNTIF('Resultats Reals'!$E$2:$E$33,M39)&gt;0),1,0))+IF(N39='Resultats Reals'!$C$35,2,IF(OR(N39='Resultats Reals'!$C$36,COUNTIF('Resultats Reals'!$E$2:$E$33,N39)&gt;0),1,0))</f>
        <v>19</v>
      </c>
      <c r="BV39">
        <f>IF(O39='Resultats Reals'!$C$3,2,IF(OR(O39='Resultats Reals'!$C$2,COUNTIF('Resultats Reals'!$E$2:$E$33,O39)&gt;0),1,0))+IF(P39='Resultats Reals'!$C$6,2,IF(OR(P39='Resultats Reals'!$C$5,COUNTIF('Resultats Reals'!$E$2:$E$33,P39)&gt;0),1,0))+IF(Q39='Resultats Reals'!$C$9,2,IF(OR(Q39='Resultats Reals'!$C$8,COUNTIF('Resultats Reals'!$E$2:$E$33,Q39)&gt;0),1,0))+IF(R39='Resultats Reals'!$C$12,2,IF(OR(R39='Resultats Reals'!$C$11,COUNTIF('Resultats Reals'!$E$2:$E$33,R39)&gt;0),1,0))+IF(S39='Resultats Reals'!$C$15,2,IF(OR(S39='Resultats Reals'!$C$14,COUNTIF('Resultats Reals'!$E$2:$E$33,S39)&gt;0),1,0))+IF(T39='Resultats Reals'!$C$18,2,IF(OR(T39='Resultats Reals'!$C$17,COUNTIF('Resultats Reals'!$E$2:$E$33,T39)&gt;0),1,0))+IF(U39='Resultats Reals'!$C$21,2,IF(OR(U39='Resultats Reals'!$C$20,COUNTIF('Resultats Reals'!$E$2:$E$33,U39)&gt;0),1,0))+IF(V39='Resultats Reals'!$C$24,2,IF(OR(V39='Resultats Reals'!$C$23,COUNTIF('Resultats Reals'!$E$2:$E$33,V39)&gt;0),1,0))+IF(W39='Resultats Reals'!$C$27,2,IF(OR(W39='Resultats Reals'!$C$26,COUNTIF('Resultats Reals'!$E$2:$E$33,W39)&gt;0),1,0))+IF(X39='Resultats Reals'!$C$30,2,IF(OR(X39='Resultats Reals'!$C$29,COUNTIF('Resultats Reals'!$E$2:$E$33,X39)&gt;0),1,0))+IF(Y39='Resultats Reals'!$C$33,2,IF(OR(Y39='Resultats Reals'!$C$32,COUNTIF('Resultats Reals'!$E$2:$E$33,Y39)&gt;0),1,0))+IF(Z39='Resultats Reals'!$C$36,2,IF(OR(Z39='Resultats Reals'!$C$35,COUNTIF('Resultats Reals'!$E$2:$E$33,Z39)&gt;0),1,0))</f>
        <v>13</v>
      </c>
      <c r="BW39">
        <f>IF(AA39='Resultats Reals'!$C$4,IF(COUNTIF('Resultats Reals'!$E$2:$E$33,AA39)&gt;0,2,0.5),IF(OR(AA39='Resultats Reals'!$C$2,AA39='Resultats Reals'!$C$3,COUNTIF('Resultats Reals'!$E$2:$E$33,AA39)&gt;0),1,0))+IF(AB39='Resultats Reals'!$C$7,IF(COUNTIF('Resultats Reals'!$E$2:$E$33,AB39)&gt;0,2,0.5),IF(OR(AB39='Resultats Reals'!$C$5,AB39='Resultats Reals'!$C$6,COUNTIF('Resultats Reals'!$E$2:$E$33,AB39)&gt;0),1,0))+IF(AC39='Resultats Reals'!$C$10,IF(COUNTIF('Resultats Reals'!$E$2:$E$33,AC39)&gt;0,2,0.5),IF(OR(AC39='Resultats Reals'!$C$8,AC39='Resultats Reals'!$C$9,COUNTIF('Resultats Reals'!$E$2:$E$33,AC39)&gt;0),1,0))+IF(AD39='Resultats Reals'!$C$13,IF(COUNTIF('Resultats Reals'!$E$2:$E$33,AD39)&gt;0,2,0.5),IF(OR(AD39='Resultats Reals'!$C$11,AD39='Resultats Reals'!$C$12,COUNTIF('Resultats Reals'!$E$2:$E$33,AD39)&gt;0),1,0))+IF(AE39='Resultats Reals'!$C$16,IF(COUNTIF('Resultats Reals'!$E$2:$E$33,AE39)&gt;0,2,0.5),IF(OR(AE39='Resultats Reals'!$C$14,AE39='Resultats Reals'!$C$15,COUNTIF('Resultats Reals'!$E$2:$E$33,AE39)&gt;0),1,0))+IF(AF39='Resultats Reals'!$C$19,IF(COUNTIF('Resultats Reals'!$E$2:$E$33,AF39)&gt;0,2,0.5),IF(OR(AF39='Resultats Reals'!$C$17,AF39='Resultats Reals'!$C$18,COUNTIF('Resultats Reals'!$E$2:$E$33,AF39)&gt;0),1,0))+IF(AG39='Resultats Reals'!$C$22,IF(COUNTIF('Resultats Reals'!$E$2:$E$33,AG39)&gt;0,2,0.5),IF(OR(AG39='Resultats Reals'!$C$20,AG39='Resultats Reals'!$C$21,COUNTIF('Resultats Reals'!$E$2:$E$33,AG39)&gt;0),1,0))+IF(AH39='Resultats Reals'!$C$25,IF(COUNTIF('Resultats Reals'!$E$2:$E$33,AH39)&gt;0,2,0.5),IF(OR(AH39='Resultats Reals'!$C$23,AH39='Resultats Reals'!$C$24,COUNTIF('Resultats Reals'!$E$2:$E$33,AH39)&gt;0),1,0))+IF(AI39='Resultats Reals'!$C$28,IF(COUNTIF('Resultats Reals'!$E$2:$E$33,AI39)&gt;0,2,0.5),IF(OR(AI39='Resultats Reals'!$C$26,AI39='Resultats Reals'!$C$27,COUNTIF('Resultats Reals'!$E$2:$E$33,AI39)&gt;0),1,0))+IF(AJ39='Resultats Reals'!$C$31,IF(COUNTIF('Resultats Reals'!$E$2:$E$33,AJ39)&gt;0,2,0.5),IF(OR(AJ39='Resultats Reals'!$C$29,AJ39='Resultats Reals'!$C$30,COUNTIF('Resultats Reals'!$E$2:$E$33,AJ39)&gt;0),1,0))+IF(AK39='Resultats Reals'!$C$34,IF(COUNTIF('Resultats Reals'!$E$2:$E$33,AK39)&gt;0,2,0.5),IF(OR(AK39='Resultats Reals'!$C$32,AK39='Resultats Reals'!$C$33,COUNTIF('Resultats Reals'!$E$2:$E$33,AK39)&gt;0),1,0))+IF(AL39='Resultats Reals'!$C$37,IF(COUNTIF('Resultats Reals'!$E$2:$E$33,AL39)&gt;0,2,0.5),IF(OR(AL39='Resultats Reals'!$C$35,AL39='Resultats Reals'!$C$36,COUNTIF('Resultats Reals'!$E$2:$E$33,AL39)&gt;0),1,0))</f>
        <v>14</v>
      </c>
      <c r="BX39">
        <f>IF(COUNTIF('Resultats Reals'!$F$2:$F$17,AM39)&gt;0,1,0)+IF(COUNTIF('Resultats Reals'!$F$2:$F$17,AN39)&gt;0,1,0)+IF(COUNTIF('Resultats Reals'!$F$2:$F$17,AO39)&gt;0,1,0)+IF(COUNTIF('Resultats Reals'!$F$2:$F$17,AP39)&gt;0,1,0)+IF(COUNTIF('Resultats Reals'!$F$2:$F$17,AQ39)&gt;0,1,0)+IF(COUNTIF('Resultats Reals'!$F$2:$F$17,AR39)&gt;0,1,0)+IF(COUNTIF('Resultats Reals'!$F$2:$F$17,AS39)&gt;0,1,0)+IF(COUNTIF('Resultats Reals'!$F$2:$F$17,AT39)&gt;0,1,0)+IF(COUNTIF('Resultats Reals'!$F$2:$F$17,AU39)&gt;0,1,0)+IF(COUNTIF('Resultats Reals'!$F$2:$F$17,AV39)&gt;0,1,0)+IF(COUNTIF('Resultats Reals'!$F$2:$F$17,AW39)&gt;0,1,0)+IF(COUNTIF('Resultats Reals'!$F$2:$F$17,AX39)&gt;0,1,0)+IF(COUNTIF('Resultats Reals'!$F$2:$F$17,AY39)&gt;0,1,0)+IF(COUNTIF('Resultats Reals'!$F$2:$F$17,AZ39)&gt;0,1,0)+IF(COUNTIF('Resultats Reals'!$F$2:$F$17,BA39)&gt;0,1,0)+IF(COUNTIF('Resultats Reals'!$F$2:$F$17,BB39)&gt;0,1,0)</f>
        <v>11</v>
      </c>
      <c r="BY39">
        <f>IF(COUNTIF('Resultats Reals'!$G$2:$G$9,BC39)&gt;0,1,0)+IF(COUNTIF('Resultats Reals'!$G$2:$G$9,BD39)&gt;0,1,0)+IF(COUNTIF('Resultats Reals'!$G$2:$G$9,BE39)&gt;0,1,0)+IF(COUNTIF('Resultats Reals'!$G$2:$G$9,BF39)&gt;0,1,0)+IF(COUNTIF('Resultats Reals'!$G$2:$G$9,BG39)&gt;0,1,0)+IF(COUNTIF('Resultats Reals'!$G$2:$G$9,BH39)&gt;0,1,0)+IF(COUNTIF('Resultats Reals'!$G$2:$G$9,BI39)&gt;0,1,0)+IF(COUNTIF('Resultats Reals'!$G$2:$G$9,BJ39)&gt;0,1,0)</f>
        <v>4</v>
      </c>
      <c r="BZ39">
        <f>IF(COUNTIF('Resultats Reals'!$H$2:$H$5,BK39)&gt;0,1,0)+IF(COUNTIF('Resultats Reals'!$H$2:$H$5,BL39)&gt;0,1,0)+IF(COUNTIF('Resultats Reals'!$H$2:$H$5,BM39)&gt;0,1,0)+IF(COUNTIF('Resultats Reals'!$H$2:$H$5,BN39)&gt;0,1,0)</f>
        <v>3</v>
      </c>
      <c r="CA39">
        <f>IF(COUNTIF('Resultats Reals'!$I$2:$I$3,BO39)&gt;0,3,0)+IF(COUNTIF('Resultats Reals'!$I$2:$I$3,BP39)&gt;0,3,0)</f>
        <v>0</v>
      </c>
      <c r="CB39">
        <f>IF(BQ39='Resultats Reals'!$J$2,5,0)</f>
        <v>0</v>
      </c>
      <c r="CC39">
        <f>IF(BS39='Resultats Reals'!$K$2,5,0)</f>
        <v>0</v>
      </c>
      <c r="CD39">
        <f>IFERROR(VLOOKUP(BT39,'Resultats Reals'!$N$2:$O$100,2,FALSE),0)</f>
        <v>6</v>
      </c>
      <c r="CE39">
        <f>IF(BR39='Resultats Reals'!$L$2,5,0)</f>
        <v>0</v>
      </c>
      <c r="CF39" s="7">
        <f t="shared" si="0"/>
        <v>70</v>
      </c>
    </row>
    <row r="40" spans="1:84" x14ac:dyDescent="0.25">
      <c r="A40" t="s">
        <v>214</v>
      </c>
      <c r="B40" t="s">
        <v>85</v>
      </c>
      <c r="C40" t="s">
        <v>86</v>
      </c>
      <c r="D40" t="s">
        <v>99</v>
      </c>
      <c r="E40" t="s">
        <v>88</v>
      </c>
      <c r="F40" t="s">
        <v>112</v>
      </c>
      <c r="G40" t="s">
        <v>90</v>
      </c>
      <c r="H40" t="s">
        <v>91</v>
      </c>
      <c r="I40" t="s">
        <v>92</v>
      </c>
      <c r="J40" t="s">
        <v>93</v>
      </c>
      <c r="K40" t="s">
        <v>94</v>
      </c>
      <c r="L40" t="s">
        <v>95</v>
      </c>
      <c r="M40" t="s">
        <v>96</v>
      </c>
      <c r="N40" t="s">
        <v>97</v>
      </c>
      <c r="O40" t="s">
        <v>98</v>
      </c>
      <c r="P40" t="s">
        <v>87</v>
      </c>
      <c r="Q40" t="s">
        <v>100</v>
      </c>
      <c r="R40" t="s">
        <v>89</v>
      </c>
      <c r="S40" t="s">
        <v>102</v>
      </c>
      <c r="T40" t="s">
        <v>114</v>
      </c>
      <c r="U40" t="s">
        <v>104</v>
      </c>
      <c r="V40" t="s">
        <v>105</v>
      </c>
      <c r="W40" t="s">
        <v>106</v>
      </c>
      <c r="X40" t="s">
        <v>107</v>
      </c>
      <c r="Y40" t="s">
        <v>108</v>
      </c>
      <c r="Z40" t="s">
        <v>109</v>
      </c>
      <c r="AA40" t="s">
        <v>130</v>
      </c>
      <c r="AB40" t="s">
        <v>125</v>
      </c>
      <c r="AC40" t="s">
        <v>111</v>
      </c>
      <c r="AD40" t="s">
        <v>101</v>
      </c>
      <c r="AE40" t="s">
        <v>113</v>
      </c>
      <c r="AF40" t="s">
        <v>131</v>
      </c>
      <c r="AG40" t="s">
        <v>115</v>
      </c>
      <c r="AH40" t="s">
        <v>116</v>
      </c>
      <c r="AI40" t="s">
        <v>117</v>
      </c>
      <c r="AJ40" t="s">
        <v>118</v>
      </c>
      <c r="AK40" t="s">
        <v>127</v>
      </c>
      <c r="AL40" t="s">
        <v>120</v>
      </c>
      <c r="AM40" t="s">
        <v>88</v>
      </c>
      <c r="AN40" t="s">
        <v>86</v>
      </c>
      <c r="AO40" t="s">
        <v>90</v>
      </c>
      <c r="AP40" t="s">
        <v>91</v>
      </c>
      <c r="AQ40" t="s">
        <v>93</v>
      </c>
      <c r="AR40" t="s">
        <v>94</v>
      </c>
      <c r="AS40" t="s">
        <v>95</v>
      </c>
      <c r="AT40" t="s">
        <v>96</v>
      </c>
      <c r="AU40" t="s">
        <v>97</v>
      </c>
      <c r="AV40" t="s">
        <v>100</v>
      </c>
      <c r="AW40" t="s">
        <v>105</v>
      </c>
      <c r="AX40" t="s">
        <v>102</v>
      </c>
      <c r="AY40" t="s">
        <v>108</v>
      </c>
      <c r="AZ40" t="s">
        <v>92</v>
      </c>
      <c r="BA40" t="s">
        <v>114</v>
      </c>
      <c r="BB40" t="s">
        <v>109</v>
      </c>
      <c r="BC40" t="s">
        <v>93</v>
      </c>
      <c r="BD40" t="s">
        <v>94</v>
      </c>
      <c r="BE40" t="s">
        <v>96</v>
      </c>
      <c r="BF40" t="s">
        <v>95</v>
      </c>
      <c r="BG40" t="s">
        <v>97</v>
      </c>
      <c r="BH40" t="s">
        <v>91</v>
      </c>
      <c r="BI40" t="s">
        <v>88</v>
      </c>
      <c r="BJ40" t="s">
        <v>90</v>
      </c>
      <c r="BK40" t="s">
        <v>93</v>
      </c>
      <c r="BL40" t="s">
        <v>94</v>
      </c>
      <c r="BM40" t="s">
        <v>95</v>
      </c>
      <c r="BN40" t="s">
        <v>96</v>
      </c>
      <c r="BO40" t="s">
        <v>93</v>
      </c>
      <c r="BP40" t="s">
        <v>96</v>
      </c>
      <c r="BQ40" t="s">
        <v>93</v>
      </c>
      <c r="BR40" s="6" t="s">
        <v>215</v>
      </c>
      <c r="BS40" t="s">
        <v>128</v>
      </c>
      <c r="BT40" t="s">
        <v>121</v>
      </c>
      <c r="BU40">
        <f>IF(C40='Resultats Reals'!$C$2,2,IF(OR(C40='Resultats Reals'!$C$3,COUNTIF('Resultats Reals'!$E$2:$E$33,C40)&gt;0),1,0))+IF(D40='Resultats Reals'!$C$5,2,IF(OR(D40='Resultats Reals'!$C$6,COUNTIF('Resultats Reals'!$E$2:$E$33,D40)&gt;0),1,0))+IF(E40='Resultats Reals'!$C$8,2,IF(OR(E40='Resultats Reals'!$C$9,COUNTIF('Resultats Reals'!$E$2:$E$33,E40)&gt;0),1,0))+IF(F40='Resultats Reals'!$C$11,2,IF(OR(F40='Resultats Reals'!$C$12,COUNTIF('Resultats Reals'!$E$2:$E$33,F40)&gt;0),1,0))+IF(G40='Resultats Reals'!$C$14,2,IF(OR(G40='Resultats Reals'!$C$15,COUNTIF('Resultats Reals'!$E$2:$E$33,G40)&gt;0),1,0))+IF(H40='Resultats Reals'!$C$17,2,IF(OR(H40='Resultats Reals'!$C$18,COUNTIF('Resultats Reals'!$E$2:$E$33,H40)&gt;0),1,0))+IF(I40='Resultats Reals'!$C$20,2,IF(OR(I40='Resultats Reals'!$C$21,COUNTIF('Resultats Reals'!$E$2:$E$33,I40)&gt;0),1,0))+IF(J40='Resultats Reals'!$C$23,2,IF(OR(J40='Resultats Reals'!$C$24,COUNTIF('Resultats Reals'!$E$2:$E$33,J40)&gt;0),1,0))+IF(K40='Resultats Reals'!$C$26,2,IF(OR(K40='Resultats Reals'!$C$27,COUNTIF('Resultats Reals'!$E$2:$E$33,K40)&gt;0),1,0))+IF(L40='Resultats Reals'!$C$29,2,IF(OR(L40='Resultats Reals'!$C$30,COUNTIF('Resultats Reals'!$E$2:$E$33,L40)&gt;0),1,0))+IF(M40='Resultats Reals'!$C$32,2,IF(OR(M40='Resultats Reals'!$C$33,COUNTIF('Resultats Reals'!$E$2:$E$33,M40)&gt;0),1,0))+IF(N40='Resultats Reals'!$C$35,2,IF(OR(N40='Resultats Reals'!$C$36,COUNTIF('Resultats Reals'!$E$2:$E$33,N40)&gt;0),1,0))</f>
        <v>21</v>
      </c>
      <c r="BV40">
        <f>IF(O40='Resultats Reals'!$C$3,2,IF(OR(O40='Resultats Reals'!$C$2,COUNTIF('Resultats Reals'!$E$2:$E$33,O40)&gt;0),1,0))+IF(P40='Resultats Reals'!$C$6,2,IF(OR(P40='Resultats Reals'!$C$5,COUNTIF('Resultats Reals'!$E$2:$E$33,P40)&gt;0),1,0))+IF(Q40='Resultats Reals'!$C$9,2,IF(OR(Q40='Resultats Reals'!$C$8,COUNTIF('Resultats Reals'!$E$2:$E$33,Q40)&gt;0),1,0))+IF(R40='Resultats Reals'!$C$12,2,IF(OR(R40='Resultats Reals'!$C$11,COUNTIF('Resultats Reals'!$E$2:$E$33,R40)&gt;0),1,0))+IF(S40='Resultats Reals'!$C$15,2,IF(OR(S40='Resultats Reals'!$C$14,COUNTIF('Resultats Reals'!$E$2:$E$33,S40)&gt;0),1,0))+IF(T40='Resultats Reals'!$C$18,2,IF(OR(T40='Resultats Reals'!$C$17,COUNTIF('Resultats Reals'!$E$2:$E$33,T40)&gt;0),1,0))+IF(U40='Resultats Reals'!$C$21,2,IF(OR(U40='Resultats Reals'!$C$20,COUNTIF('Resultats Reals'!$E$2:$E$33,U40)&gt;0),1,0))+IF(V40='Resultats Reals'!$C$24,2,IF(OR(V40='Resultats Reals'!$C$23,COUNTIF('Resultats Reals'!$E$2:$E$33,V40)&gt;0),1,0))+IF(W40='Resultats Reals'!$C$27,2,IF(OR(W40='Resultats Reals'!$C$26,COUNTIF('Resultats Reals'!$E$2:$E$33,W40)&gt;0),1,0))+IF(X40='Resultats Reals'!$C$30,2,IF(OR(X40='Resultats Reals'!$C$29,COUNTIF('Resultats Reals'!$E$2:$E$33,X40)&gt;0),1,0))+IF(Y40='Resultats Reals'!$C$33,2,IF(OR(Y40='Resultats Reals'!$C$32,COUNTIF('Resultats Reals'!$E$2:$E$33,Y40)&gt;0),1,0))+IF(Z40='Resultats Reals'!$C$36,2,IF(OR(Z40='Resultats Reals'!$C$35,COUNTIF('Resultats Reals'!$E$2:$E$33,Z40)&gt;0),1,0))</f>
        <v>15</v>
      </c>
      <c r="BW40">
        <f>IF(AA40='Resultats Reals'!$C$4,IF(COUNTIF('Resultats Reals'!$E$2:$E$33,AA40)&gt;0,2,0.5),IF(OR(AA40='Resultats Reals'!$C$2,AA40='Resultats Reals'!$C$3,COUNTIF('Resultats Reals'!$E$2:$E$33,AA40)&gt;0),1,0))+IF(AB40='Resultats Reals'!$C$7,IF(COUNTIF('Resultats Reals'!$E$2:$E$33,AB40)&gt;0,2,0.5),IF(OR(AB40='Resultats Reals'!$C$5,AB40='Resultats Reals'!$C$6,COUNTIF('Resultats Reals'!$E$2:$E$33,AB40)&gt;0),1,0))+IF(AC40='Resultats Reals'!$C$10,IF(COUNTIF('Resultats Reals'!$E$2:$E$33,AC40)&gt;0,2,0.5),IF(OR(AC40='Resultats Reals'!$C$8,AC40='Resultats Reals'!$C$9,COUNTIF('Resultats Reals'!$E$2:$E$33,AC40)&gt;0),1,0))+IF(AD40='Resultats Reals'!$C$13,IF(COUNTIF('Resultats Reals'!$E$2:$E$33,AD40)&gt;0,2,0.5),IF(OR(AD40='Resultats Reals'!$C$11,AD40='Resultats Reals'!$C$12,COUNTIF('Resultats Reals'!$E$2:$E$33,AD40)&gt;0),1,0))+IF(AE40='Resultats Reals'!$C$16,IF(COUNTIF('Resultats Reals'!$E$2:$E$33,AE40)&gt;0,2,0.5),IF(OR(AE40='Resultats Reals'!$C$14,AE40='Resultats Reals'!$C$15,COUNTIF('Resultats Reals'!$E$2:$E$33,AE40)&gt;0),1,0))+IF(AF40='Resultats Reals'!$C$19,IF(COUNTIF('Resultats Reals'!$E$2:$E$33,AF40)&gt;0,2,0.5),IF(OR(AF40='Resultats Reals'!$C$17,AF40='Resultats Reals'!$C$18,COUNTIF('Resultats Reals'!$E$2:$E$33,AF40)&gt;0),1,0))+IF(AG40='Resultats Reals'!$C$22,IF(COUNTIF('Resultats Reals'!$E$2:$E$33,AG40)&gt;0,2,0.5),IF(OR(AG40='Resultats Reals'!$C$20,AG40='Resultats Reals'!$C$21,COUNTIF('Resultats Reals'!$E$2:$E$33,AG40)&gt;0),1,0))+IF(AH40='Resultats Reals'!$C$25,IF(COUNTIF('Resultats Reals'!$E$2:$E$33,AH40)&gt;0,2,0.5),IF(OR(AH40='Resultats Reals'!$C$23,AH40='Resultats Reals'!$C$24,COUNTIF('Resultats Reals'!$E$2:$E$33,AH40)&gt;0),1,0))+IF(AI40='Resultats Reals'!$C$28,IF(COUNTIF('Resultats Reals'!$E$2:$E$33,AI40)&gt;0,2,0.5),IF(OR(AI40='Resultats Reals'!$C$26,AI40='Resultats Reals'!$C$27,COUNTIF('Resultats Reals'!$E$2:$E$33,AI40)&gt;0),1,0))+IF(AJ40='Resultats Reals'!$C$31,IF(COUNTIF('Resultats Reals'!$E$2:$E$33,AJ40)&gt;0,2,0.5),IF(OR(AJ40='Resultats Reals'!$C$29,AJ40='Resultats Reals'!$C$30,COUNTIF('Resultats Reals'!$E$2:$E$33,AJ40)&gt;0),1,0))+IF(AK40='Resultats Reals'!$C$34,IF(COUNTIF('Resultats Reals'!$E$2:$E$33,AK40)&gt;0,2,0.5),IF(OR(AK40='Resultats Reals'!$C$32,AK40='Resultats Reals'!$C$33,COUNTIF('Resultats Reals'!$E$2:$E$33,AK40)&gt;0),1,0))+IF(AL40='Resultats Reals'!$C$37,IF(COUNTIF('Resultats Reals'!$E$2:$E$33,AL40)&gt;0,2,0.5),IF(OR(AL40='Resultats Reals'!$C$35,AL40='Resultats Reals'!$C$36,COUNTIF('Resultats Reals'!$E$2:$E$33,AL40)&gt;0),1,0))</f>
        <v>10</v>
      </c>
      <c r="BX40">
        <f>IF(COUNTIF('Resultats Reals'!$F$2:$F$17,AM40)&gt;0,1,0)+IF(COUNTIF('Resultats Reals'!$F$2:$F$17,AN40)&gt;0,1,0)+IF(COUNTIF('Resultats Reals'!$F$2:$F$17,AO40)&gt;0,1,0)+IF(COUNTIF('Resultats Reals'!$F$2:$F$17,AP40)&gt;0,1,0)+IF(COUNTIF('Resultats Reals'!$F$2:$F$17,AQ40)&gt;0,1,0)+IF(COUNTIF('Resultats Reals'!$F$2:$F$17,AR40)&gt;0,1,0)+IF(COUNTIF('Resultats Reals'!$F$2:$F$17,AS40)&gt;0,1,0)+IF(COUNTIF('Resultats Reals'!$F$2:$F$17,AT40)&gt;0,1,0)+IF(COUNTIF('Resultats Reals'!$F$2:$F$17,AU40)&gt;0,1,0)+IF(COUNTIF('Resultats Reals'!$F$2:$F$17,AV40)&gt;0,1,0)+IF(COUNTIF('Resultats Reals'!$F$2:$F$17,AW40)&gt;0,1,0)+IF(COUNTIF('Resultats Reals'!$F$2:$F$17,AX40)&gt;0,1,0)+IF(COUNTIF('Resultats Reals'!$F$2:$F$17,AY40)&gt;0,1,0)+IF(COUNTIF('Resultats Reals'!$F$2:$F$17,AZ40)&gt;0,1,0)+IF(COUNTIF('Resultats Reals'!$F$2:$F$17,BA40)&gt;0,1,0)+IF(COUNTIF('Resultats Reals'!$F$2:$F$17,BB40)&gt;0,1,0)</f>
        <v>10</v>
      </c>
      <c r="BY40">
        <f>IF(COUNTIF('Resultats Reals'!$G$2:$G$9,BC40)&gt;0,1,0)+IF(COUNTIF('Resultats Reals'!$G$2:$G$9,BD40)&gt;0,1,0)+IF(COUNTIF('Resultats Reals'!$G$2:$G$9,BE40)&gt;0,1,0)+IF(COUNTIF('Resultats Reals'!$G$2:$G$9,BF40)&gt;0,1,0)+IF(COUNTIF('Resultats Reals'!$G$2:$G$9,BG40)&gt;0,1,0)+IF(COUNTIF('Resultats Reals'!$G$2:$G$9,BH40)&gt;0,1,0)+IF(COUNTIF('Resultats Reals'!$G$2:$G$9,BI40)&gt;0,1,0)+IF(COUNTIF('Resultats Reals'!$G$2:$G$9,BJ40)&gt;0,1,0)</f>
        <v>4</v>
      </c>
      <c r="BZ40">
        <f>IF(COUNTIF('Resultats Reals'!$H$2:$H$5,BK40)&gt;0,1,0)+IF(COUNTIF('Resultats Reals'!$H$2:$H$5,BL40)&gt;0,1,0)+IF(COUNTIF('Resultats Reals'!$H$2:$H$5,BM40)&gt;0,1,0)+IF(COUNTIF('Resultats Reals'!$H$2:$H$5,BN40)&gt;0,1,0)</f>
        <v>3</v>
      </c>
      <c r="CA40">
        <f>IF(COUNTIF('Resultats Reals'!$I$2:$I$3,BO40)&gt;0,3,0)+IF(COUNTIF('Resultats Reals'!$I$2:$I$3,BP40)&gt;0,3,0)</f>
        <v>0</v>
      </c>
      <c r="CB40">
        <f>IF(BQ40='Resultats Reals'!$J$2,5,0)</f>
        <v>0</v>
      </c>
      <c r="CC40">
        <f>IF(BS40='Resultats Reals'!$K$2,5,0)</f>
        <v>0</v>
      </c>
      <c r="CD40">
        <f>IFERROR(VLOOKUP(BT40,'Resultats Reals'!$N$2:$O$100,2,FALSE),0)</f>
        <v>1</v>
      </c>
      <c r="CE40">
        <f>IF(BR40='Resultats Reals'!$L$2,5,0)</f>
        <v>0</v>
      </c>
      <c r="CF40" s="7">
        <f t="shared" si="0"/>
        <v>64</v>
      </c>
    </row>
    <row r="41" spans="1:84" x14ac:dyDescent="0.25">
      <c r="A41" t="s">
        <v>159</v>
      </c>
      <c r="B41" t="s">
        <v>140</v>
      </c>
      <c r="C41" t="s">
        <v>86</v>
      </c>
      <c r="D41" t="s">
        <v>99</v>
      </c>
      <c r="E41" t="s">
        <v>88</v>
      </c>
      <c r="F41" t="s">
        <v>112</v>
      </c>
      <c r="G41" t="s">
        <v>90</v>
      </c>
      <c r="H41" t="s">
        <v>91</v>
      </c>
      <c r="I41" t="s">
        <v>138</v>
      </c>
      <c r="J41" t="s">
        <v>93</v>
      </c>
      <c r="K41" t="s">
        <v>94</v>
      </c>
      <c r="L41" t="s">
        <v>95</v>
      </c>
      <c r="M41" t="s">
        <v>96</v>
      </c>
      <c r="N41" t="s">
        <v>97</v>
      </c>
      <c r="O41" t="s">
        <v>130</v>
      </c>
      <c r="P41" t="s">
        <v>87</v>
      </c>
      <c r="Q41" t="s">
        <v>111</v>
      </c>
      <c r="R41" t="s">
        <v>101</v>
      </c>
      <c r="S41" t="s">
        <v>102</v>
      </c>
      <c r="T41" t="s">
        <v>103</v>
      </c>
      <c r="U41" t="s">
        <v>92</v>
      </c>
      <c r="V41" t="s">
        <v>105</v>
      </c>
      <c r="W41" t="s">
        <v>117</v>
      </c>
      <c r="X41" t="s">
        <v>118</v>
      </c>
      <c r="Y41" t="s">
        <v>108</v>
      </c>
      <c r="Z41" t="s">
        <v>144</v>
      </c>
      <c r="AA41" t="s">
        <v>110</v>
      </c>
      <c r="AB41" t="s">
        <v>125</v>
      </c>
      <c r="AC41" t="s">
        <v>100</v>
      </c>
      <c r="AD41" t="s">
        <v>126</v>
      </c>
      <c r="AE41" t="s">
        <v>113</v>
      </c>
      <c r="AF41" t="s">
        <v>114</v>
      </c>
      <c r="AG41" t="s">
        <v>104</v>
      </c>
      <c r="AH41" t="s">
        <v>116</v>
      </c>
      <c r="AI41" t="s">
        <v>106</v>
      </c>
      <c r="AJ41" t="s">
        <v>107</v>
      </c>
      <c r="AK41" t="s">
        <v>127</v>
      </c>
      <c r="AL41" t="s">
        <v>120</v>
      </c>
      <c r="AM41" t="s">
        <v>88</v>
      </c>
      <c r="AN41" t="s">
        <v>93</v>
      </c>
      <c r="AO41" t="s">
        <v>94</v>
      </c>
      <c r="AP41" t="s">
        <v>95</v>
      </c>
      <c r="AQ41" t="s">
        <v>90</v>
      </c>
      <c r="AR41" t="s">
        <v>91</v>
      </c>
      <c r="AS41" t="s">
        <v>97</v>
      </c>
      <c r="AT41" t="s">
        <v>117</v>
      </c>
      <c r="AU41" t="s">
        <v>105</v>
      </c>
      <c r="AV41" t="s">
        <v>120</v>
      </c>
      <c r="AW41" t="s">
        <v>86</v>
      </c>
      <c r="AX41" t="s">
        <v>108</v>
      </c>
      <c r="AY41" t="s">
        <v>106</v>
      </c>
      <c r="AZ41" t="s">
        <v>102</v>
      </c>
      <c r="BA41" t="s">
        <v>96</v>
      </c>
      <c r="BB41" t="s">
        <v>144</v>
      </c>
      <c r="BC41" t="s">
        <v>88</v>
      </c>
      <c r="BD41" t="s">
        <v>93</v>
      </c>
      <c r="BE41" t="s">
        <v>94</v>
      </c>
      <c r="BF41" t="s">
        <v>95</v>
      </c>
      <c r="BG41" t="s">
        <v>90</v>
      </c>
      <c r="BH41" t="s">
        <v>91</v>
      </c>
      <c r="BI41" t="s">
        <v>97</v>
      </c>
      <c r="BJ41" t="s">
        <v>117</v>
      </c>
      <c r="BK41" t="s">
        <v>88</v>
      </c>
      <c r="BL41" t="s">
        <v>93</v>
      </c>
      <c r="BM41" t="s">
        <v>94</v>
      </c>
      <c r="BN41" t="s">
        <v>117</v>
      </c>
      <c r="BO41" t="s">
        <v>88</v>
      </c>
      <c r="BP41" t="s">
        <v>93</v>
      </c>
      <c r="BQ41" t="s">
        <v>88</v>
      </c>
      <c r="BS41" t="s">
        <v>160</v>
      </c>
      <c r="BT41" t="s">
        <v>161</v>
      </c>
      <c r="BU41">
        <f>IF(C41='Resultats Reals'!$C$2,2,IF(OR(C41='Resultats Reals'!$C$3,COUNTIF('Resultats Reals'!$E$2:$E$33,C41)&gt;0),1,0))+IF(D41='Resultats Reals'!$C$5,2,IF(OR(D41='Resultats Reals'!$C$6,COUNTIF('Resultats Reals'!$E$2:$E$33,D41)&gt;0),1,0))+IF(E41='Resultats Reals'!$C$8,2,IF(OR(E41='Resultats Reals'!$C$9,COUNTIF('Resultats Reals'!$E$2:$E$33,E41)&gt;0),1,0))+IF(F41='Resultats Reals'!$C$11,2,IF(OR(F41='Resultats Reals'!$C$12,COUNTIF('Resultats Reals'!$E$2:$E$33,F41)&gt;0),1,0))+IF(G41='Resultats Reals'!$C$14,2,IF(OR(G41='Resultats Reals'!$C$15,COUNTIF('Resultats Reals'!$E$2:$E$33,G41)&gt;0),1,0))+IF(H41='Resultats Reals'!$C$17,2,IF(OR(H41='Resultats Reals'!$C$18,COUNTIF('Resultats Reals'!$E$2:$E$33,H41)&gt;0),1,0))+IF(I41='Resultats Reals'!$C$20,2,IF(OR(I41='Resultats Reals'!$C$21,COUNTIF('Resultats Reals'!$E$2:$E$33,I41)&gt;0),1,0))+IF(J41='Resultats Reals'!$C$23,2,IF(OR(J41='Resultats Reals'!$C$24,COUNTIF('Resultats Reals'!$E$2:$E$33,J41)&gt;0),1,0))+IF(K41='Resultats Reals'!$C$26,2,IF(OR(K41='Resultats Reals'!$C$27,COUNTIF('Resultats Reals'!$E$2:$E$33,K41)&gt;0),1,0))+IF(L41='Resultats Reals'!$C$29,2,IF(OR(L41='Resultats Reals'!$C$30,COUNTIF('Resultats Reals'!$E$2:$E$33,L41)&gt;0),1,0))+IF(M41='Resultats Reals'!$C$32,2,IF(OR(M41='Resultats Reals'!$C$33,COUNTIF('Resultats Reals'!$E$2:$E$33,M41)&gt;0),1,0))+IF(N41='Resultats Reals'!$C$35,2,IF(OR(N41='Resultats Reals'!$C$36,COUNTIF('Resultats Reals'!$E$2:$E$33,N41)&gt;0),1,0))</f>
        <v>19</v>
      </c>
      <c r="BV41">
        <f>IF(O41='Resultats Reals'!$C$3,2,IF(OR(O41='Resultats Reals'!$C$2,COUNTIF('Resultats Reals'!$E$2:$E$33,O41)&gt;0),1,0))+IF(P41='Resultats Reals'!$C$6,2,IF(OR(P41='Resultats Reals'!$C$5,COUNTIF('Resultats Reals'!$E$2:$E$33,P41)&gt;0),1,0))+IF(Q41='Resultats Reals'!$C$9,2,IF(OR(Q41='Resultats Reals'!$C$8,COUNTIF('Resultats Reals'!$E$2:$E$33,Q41)&gt;0),1,0))+IF(R41='Resultats Reals'!$C$12,2,IF(OR(R41='Resultats Reals'!$C$11,COUNTIF('Resultats Reals'!$E$2:$E$33,R41)&gt;0),1,0))+IF(S41='Resultats Reals'!$C$15,2,IF(OR(S41='Resultats Reals'!$C$14,COUNTIF('Resultats Reals'!$E$2:$E$33,S41)&gt;0),1,0))+IF(T41='Resultats Reals'!$C$18,2,IF(OR(T41='Resultats Reals'!$C$17,COUNTIF('Resultats Reals'!$E$2:$E$33,T41)&gt;0),1,0))+IF(U41='Resultats Reals'!$C$21,2,IF(OR(U41='Resultats Reals'!$C$20,COUNTIF('Resultats Reals'!$E$2:$E$33,U41)&gt;0),1,0))+IF(V41='Resultats Reals'!$C$24,2,IF(OR(V41='Resultats Reals'!$C$23,COUNTIF('Resultats Reals'!$E$2:$E$33,V41)&gt;0),1,0))+IF(W41='Resultats Reals'!$C$27,2,IF(OR(W41='Resultats Reals'!$C$26,COUNTIF('Resultats Reals'!$E$2:$E$33,W41)&gt;0),1,0))+IF(X41='Resultats Reals'!$C$30,2,IF(OR(X41='Resultats Reals'!$C$29,COUNTIF('Resultats Reals'!$E$2:$E$33,X41)&gt;0),1,0))+IF(Y41='Resultats Reals'!$C$33,2,IF(OR(Y41='Resultats Reals'!$C$32,COUNTIF('Resultats Reals'!$E$2:$E$33,Y41)&gt;0),1,0))+IF(Z41='Resultats Reals'!$C$36,2,IF(OR(Z41='Resultats Reals'!$C$35,COUNTIF('Resultats Reals'!$E$2:$E$33,Z41)&gt;0),1,0))</f>
        <v>10</v>
      </c>
      <c r="BW41">
        <f>IF(AA41='Resultats Reals'!$C$4,IF(COUNTIF('Resultats Reals'!$E$2:$E$33,AA41)&gt;0,2,0.5),IF(OR(AA41='Resultats Reals'!$C$2,AA41='Resultats Reals'!$C$3,COUNTIF('Resultats Reals'!$E$2:$E$33,AA41)&gt;0),1,0))+IF(AB41='Resultats Reals'!$C$7,IF(COUNTIF('Resultats Reals'!$E$2:$E$33,AB41)&gt;0,2,0.5),IF(OR(AB41='Resultats Reals'!$C$5,AB41='Resultats Reals'!$C$6,COUNTIF('Resultats Reals'!$E$2:$E$33,AB41)&gt;0),1,0))+IF(AC41='Resultats Reals'!$C$10,IF(COUNTIF('Resultats Reals'!$E$2:$E$33,AC41)&gt;0,2,0.5),IF(OR(AC41='Resultats Reals'!$C$8,AC41='Resultats Reals'!$C$9,COUNTIF('Resultats Reals'!$E$2:$E$33,AC41)&gt;0),1,0))+IF(AD41='Resultats Reals'!$C$13,IF(COUNTIF('Resultats Reals'!$E$2:$E$33,AD41)&gt;0,2,0.5),IF(OR(AD41='Resultats Reals'!$C$11,AD41='Resultats Reals'!$C$12,COUNTIF('Resultats Reals'!$E$2:$E$33,AD41)&gt;0),1,0))+IF(AE41='Resultats Reals'!$C$16,IF(COUNTIF('Resultats Reals'!$E$2:$E$33,AE41)&gt;0,2,0.5),IF(OR(AE41='Resultats Reals'!$C$14,AE41='Resultats Reals'!$C$15,COUNTIF('Resultats Reals'!$E$2:$E$33,AE41)&gt;0),1,0))+IF(AF41='Resultats Reals'!$C$19,IF(COUNTIF('Resultats Reals'!$E$2:$E$33,AF41)&gt;0,2,0.5),IF(OR(AF41='Resultats Reals'!$C$17,AF41='Resultats Reals'!$C$18,COUNTIF('Resultats Reals'!$E$2:$E$33,AF41)&gt;0),1,0))+IF(AG41='Resultats Reals'!$C$22,IF(COUNTIF('Resultats Reals'!$E$2:$E$33,AG41)&gt;0,2,0.5),IF(OR(AG41='Resultats Reals'!$C$20,AG41='Resultats Reals'!$C$21,COUNTIF('Resultats Reals'!$E$2:$E$33,AG41)&gt;0),1,0))+IF(AH41='Resultats Reals'!$C$25,IF(COUNTIF('Resultats Reals'!$E$2:$E$33,AH41)&gt;0,2,0.5),IF(OR(AH41='Resultats Reals'!$C$23,AH41='Resultats Reals'!$C$24,COUNTIF('Resultats Reals'!$E$2:$E$33,AH41)&gt;0),1,0))+IF(AI41='Resultats Reals'!$C$28,IF(COUNTIF('Resultats Reals'!$E$2:$E$33,AI41)&gt;0,2,0.5),IF(OR(AI41='Resultats Reals'!$C$26,AI41='Resultats Reals'!$C$27,COUNTIF('Resultats Reals'!$E$2:$E$33,AI41)&gt;0),1,0))+IF(AJ41='Resultats Reals'!$C$31,IF(COUNTIF('Resultats Reals'!$E$2:$E$33,AJ41)&gt;0,2,0.5),IF(OR(AJ41='Resultats Reals'!$C$29,AJ41='Resultats Reals'!$C$30,COUNTIF('Resultats Reals'!$E$2:$E$33,AJ41)&gt;0),1,0))+IF(AK41='Resultats Reals'!$C$34,IF(COUNTIF('Resultats Reals'!$E$2:$E$33,AK41)&gt;0,2,0.5),IF(OR(AK41='Resultats Reals'!$C$32,AK41='Resultats Reals'!$C$33,COUNTIF('Resultats Reals'!$E$2:$E$33,AK41)&gt;0),1,0))+IF(AL41='Resultats Reals'!$C$37,IF(COUNTIF('Resultats Reals'!$E$2:$E$33,AL41)&gt;0,2,0.5),IF(OR(AL41='Resultats Reals'!$C$35,AL41='Resultats Reals'!$C$36,COUNTIF('Resultats Reals'!$E$2:$E$33,AL41)&gt;0),1,0))</f>
        <v>12</v>
      </c>
      <c r="BX41">
        <f>IF(COUNTIF('Resultats Reals'!$F$2:$F$17,AM41)&gt;0,1,0)+IF(COUNTIF('Resultats Reals'!$F$2:$F$17,AN41)&gt;0,1,0)+IF(COUNTIF('Resultats Reals'!$F$2:$F$17,AO41)&gt;0,1,0)+IF(COUNTIF('Resultats Reals'!$F$2:$F$17,AP41)&gt;0,1,0)+IF(COUNTIF('Resultats Reals'!$F$2:$F$17,AQ41)&gt;0,1,0)+IF(COUNTIF('Resultats Reals'!$F$2:$F$17,AR41)&gt;0,1,0)+IF(COUNTIF('Resultats Reals'!$F$2:$F$17,AS41)&gt;0,1,0)+IF(COUNTIF('Resultats Reals'!$F$2:$F$17,AT41)&gt;0,1,0)+IF(COUNTIF('Resultats Reals'!$F$2:$F$17,AU41)&gt;0,1,0)+IF(COUNTIF('Resultats Reals'!$F$2:$F$17,AV41)&gt;0,1,0)+IF(COUNTIF('Resultats Reals'!$F$2:$F$17,AW41)&gt;0,1,0)+IF(COUNTIF('Resultats Reals'!$F$2:$F$17,AX41)&gt;0,1,0)+IF(COUNTIF('Resultats Reals'!$F$2:$F$17,AY41)&gt;0,1,0)+IF(COUNTIF('Resultats Reals'!$F$2:$F$17,AZ41)&gt;0,1,0)+IF(COUNTIF('Resultats Reals'!$F$2:$F$17,BA41)&gt;0,1,0)+IF(COUNTIF('Resultats Reals'!$F$2:$F$17,BB41)&gt;0,1,0)</f>
        <v>9</v>
      </c>
      <c r="BY41">
        <f>IF(COUNTIF('Resultats Reals'!$G$2:$G$9,BC41)&gt;0,1,0)+IF(COUNTIF('Resultats Reals'!$G$2:$G$9,BD41)&gt;0,1,0)+IF(COUNTIF('Resultats Reals'!$G$2:$G$9,BE41)&gt;0,1,0)+IF(COUNTIF('Resultats Reals'!$G$2:$G$9,BF41)&gt;0,1,0)+IF(COUNTIF('Resultats Reals'!$G$2:$G$9,BG41)&gt;0,1,0)+IF(COUNTIF('Resultats Reals'!$G$2:$G$9,BH41)&gt;0,1,0)+IF(COUNTIF('Resultats Reals'!$G$2:$G$9,BI41)&gt;0,1,0)+IF(COUNTIF('Resultats Reals'!$G$2:$G$9,BJ41)&gt;0,1,0)</f>
        <v>5</v>
      </c>
      <c r="BZ41">
        <f>IF(COUNTIF('Resultats Reals'!$H$2:$H$5,BK41)&gt;0,1,0)+IF(COUNTIF('Resultats Reals'!$H$2:$H$5,BL41)&gt;0,1,0)+IF(COUNTIF('Resultats Reals'!$H$2:$H$5,BM41)&gt;0,1,0)+IF(COUNTIF('Resultats Reals'!$H$2:$H$5,BN41)&gt;0,1,0)</f>
        <v>2</v>
      </c>
      <c r="CA41">
        <f>IF(COUNTIF('Resultats Reals'!$I$2:$I$3,BO41)&gt;0,3,0)+IF(COUNTIF('Resultats Reals'!$I$2:$I$3,BP41)&gt;0,3,0)</f>
        <v>0</v>
      </c>
      <c r="CB41">
        <f>IF(BQ41='Resultats Reals'!$J$2,5,0)</f>
        <v>0</v>
      </c>
      <c r="CC41">
        <f>IF(BS41='Resultats Reals'!$K$2,5,0)</f>
        <v>0</v>
      </c>
      <c r="CD41">
        <f>IFERROR(VLOOKUP(BT41,'Resultats Reals'!$N$2:$O$100,2,FALSE),0)</f>
        <v>7</v>
      </c>
      <c r="CE41">
        <f>IF(BR41='Resultats Reals'!$L$2,5,0)</f>
        <v>0</v>
      </c>
      <c r="CF41" s="7">
        <f t="shared" si="0"/>
        <v>64</v>
      </c>
    </row>
    <row r="42" spans="1:84" x14ac:dyDescent="0.25">
      <c r="A42" t="s">
        <v>162</v>
      </c>
      <c r="B42" t="s">
        <v>163</v>
      </c>
      <c r="C42" t="s">
        <v>86</v>
      </c>
      <c r="D42" t="s">
        <v>87</v>
      </c>
      <c r="E42" t="s">
        <v>88</v>
      </c>
      <c r="F42" t="s">
        <v>101</v>
      </c>
      <c r="G42" t="s">
        <v>90</v>
      </c>
      <c r="H42" t="s">
        <v>91</v>
      </c>
      <c r="I42" t="s">
        <v>92</v>
      </c>
      <c r="J42" t="s">
        <v>93</v>
      </c>
      <c r="K42" t="s">
        <v>94</v>
      </c>
      <c r="L42" t="s">
        <v>95</v>
      </c>
      <c r="M42" t="s">
        <v>96</v>
      </c>
      <c r="N42" t="s">
        <v>97</v>
      </c>
      <c r="O42" t="s">
        <v>98</v>
      </c>
      <c r="P42" t="s">
        <v>99</v>
      </c>
      <c r="Q42" t="s">
        <v>100</v>
      </c>
      <c r="R42" t="s">
        <v>89</v>
      </c>
      <c r="S42" t="s">
        <v>102</v>
      </c>
      <c r="T42" t="s">
        <v>114</v>
      </c>
      <c r="U42" t="s">
        <v>104</v>
      </c>
      <c r="V42" t="s">
        <v>105</v>
      </c>
      <c r="W42" t="s">
        <v>106</v>
      </c>
      <c r="X42" t="s">
        <v>118</v>
      </c>
      <c r="Y42" t="s">
        <v>108</v>
      </c>
      <c r="Z42" t="s">
        <v>109</v>
      </c>
      <c r="AA42" t="s">
        <v>130</v>
      </c>
      <c r="AB42" t="s">
        <v>245</v>
      </c>
      <c r="AC42" t="s">
        <v>111</v>
      </c>
      <c r="AD42" t="s">
        <v>126</v>
      </c>
      <c r="AE42" t="s">
        <v>113</v>
      </c>
      <c r="AF42" t="s">
        <v>103</v>
      </c>
      <c r="AG42" t="s">
        <v>115</v>
      </c>
      <c r="AH42" t="s">
        <v>116</v>
      </c>
      <c r="AI42" t="s">
        <v>117</v>
      </c>
      <c r="AJ42" t="s">
        <v>143</v>
      </c>
      <c r="AK42" t="s">
        <v>119</v>
      </c>
      <c r="AL42" t="s">
        <v>144</v>
      </c>
      <c r="AM42" t="s">
        <v>90</v>
      </c>
      <c r="AN42" t="s">
        <v>88</v>
      </c>
      <c r="AO42" t="s">
        <v>95</v>
      </c>
      <c r="AP42" t="s">
        <v>93</v>
      </c>
      <c r="AQ42" t="s">
        <v>91</v>
      </c>
      <c r="AR42" t="s">
        <v>94</v>
      </c>
      <c r="AS42" t="s">
        <v>97</v>
      </c>
      <c r="AT42" t="s">
        <v>100</v>
      </c>
      <c r="AU42" t="s">
        <v>108</v>
      </c>
      <c r="AV42" t="s">
        <v>86</v>
      </c>
      <c r="AW42" t="s">
        <v>105</v>
      </c>
      <c r="AX42" t="s">
        <v>113</v>
      </c>
      <c r="AY42" t="s">
        <v>102</v>
      </c>
      <c r="AZ42" t="s">
        <v>114</v>
      </c>
      <c r="BA42" t="s">
        <v>96</v>
      </c>
      <c r="BB42" t="s">
        <v>109</v>
      </c>
      <c r="BC42" t="s">
        <v>95</v>
      </c>
      <c r="BD42" t="s">
        <v>93</v>
      </c>
      <c r="BE42" t="s">
        <v>96</v>
      </c>
      <c r="BF42" t="s">
        <v>94</v>
      </c>
      <c r="BG42" t="s">
        <v>91</v>
      </c>
      <c r="BH42" t="s">
        <v>97</v>
      </c>
      <c r="BI42" t="s">
        <v>88</v>
      </c>
      <c r="BJ42" t="s">
        <v>108</v>
      </c>
      <c r="BK42" t="s">
        <v>93</v>
      </c>
      <c r="BL42" t="s">
        <v>95</v>
      </c>
      <c r="BM42" t="s">
        <v>94</v>
      </c>
      <c r="BN42" t="s">
        <v>96</v>
      </c>
      <c r="BO42" t="s">
        <v>93</v>
      </c>
      <c r="BP42" t="s">
        <v>94</v>
      </c>
      <c r="BQ42" t="s">
        <v>94</v>
      </c>
      <c r="BR42" s="6" t="s">
        <v>164</v>
      </c>
      <c r="BS42" t="s">
        <v>121</v>
      </c>
      <c r="BT42" t="s">
        <v>128</v>
      </c>
      <c r="BU42">
        <f>IF(C42='Resultats Reals'!$C$2,2,IF(OR(C42='Resultats Reals'!$C$3,COUNTIF('Resultats Reals'!$E$2:$E$33,C42)&gt;0),1,0))+IF(D42='Resultats Reals'!$C$5,2,IF(OR(D42='Resultats Reals'!$C$6,COUNTIF('Resultats Reals'!$E$2:$E$33,D42)&gt;0),1,0))+IF(E42='Resultats Reals'!$C$8,2,IF(OR(E42='Resultats Reals'!$C$9,COUNTIF('Resultats Reals'!$E$2:$E$33,E42)&gt;0),1,0))+IF(F42='Resultats Reals'!$C$11,2,IF(OR(F42='Resultats Reals'!$C$12,COUNTIF('Resultats Reals'!$E$2:$E$33,F42)&gt;0),1,0))+IF(G42='Resultats Reals'!$C$14,2,IF(OR(G42='Resultats Reals'!$C$15,COUNTIF('Resultats Reals'!$E$2:$E$33,G42)&gt;0),1,0))+IF(H42='Resultats Reals'!$C$17,2,IF(OR(H42='Resultats Reals'!$C$18,COUNTIF('Resultats Reals'!$E$2:$E$33,H42)&gt;0),1,0))+IF(I42='Resultats Reals'!$C$20,2,IF(OR(I42='Resultats Reals'!$C$21,COUNTIF('Resultats Reals'!$E$2:$E$33,I42)&gt;0),1,0))+IF(J42='Resultats Reals'!$C$23,2,IF(OR(J42='Resultats Reals'!$C$24,COUNTIF('Resultats Reals'!$E$2:$E$33,J42)&gt;0),1,0))+IF(K42='Resultats Reals'!$C$26,2,IF(OR(K42='Resultats Reals'!$C$27,COUNTIF('Resultats Reals'!$E$2:$E$33,K42)&gt;0),1,0))+IF(L42='Resultats Reals'!$C$29,2,IF(OR(L42='Resultats Reals'!$C$30,COUNTIF('Resultats Reals'!$E$2:$E$33,L42)&gt;0),1,0))+IF(M42='Resultats Reals'!$C$32,2,IF(OR(M42='Resultats Reals'!$C$33,COUNTIF('Resultats Reals'!$E$2:$E$33,M42)&gt;0),1,0))+IF(N42='Resultats Reals'!$C$35,2,IF(OR(N42='Resultats Reals'!$C$36,COUNTIF('Resultats Reals'!$E$2:$E$33,N42)&gt;0),1,0))</f>
        <v>21</v>
      </c>
      <c r="BV42">
        <f>IF(O42='Resultats Reals'!$C$3,2,IF(OR(O42='Resultats Reals'!$C$2,COUNTIF('Resultats Reals'!$E$2:$E$33,O42)&gt;0),1,0))+IF(P42='Resultats Reals'!$C$6,2,IF(OR(P42='Resultats Reals'!$C$5,COUNTIF('Resultats Reals'!$E$2:$E$33,P42)&gt;0),1,0))+IF(Q42='Resultats Reals'!$C$9,2,IF(OR(Q42='Resultats Reals'!$C$8,COUNTIF('Resultats Reals'!$E$2:$E$33,Q42)&gt;0),1,0))+IF(R42='Resultats Reals'!$C$12,2,IF(OR(R42='Resultats Reals'!$C$11,COUNTIF('Resultats Reals'!$E$2:$E$33,R42)&gt;0),1,0))+IF(S42='Resultats Reals'!$C$15,2,IF(OR(S42='Resultats Reals'!$C$14,COUNTIF('Resultats Reals'!$E$2:$E$33,S42)&gt;0),1,0))+IF(T42='Resultats Reals'!$C$18,2,IF(OR(T42='Resultats Reals'!$C$17,COUNTIF('Resultats Reals'!$E$2:$E$33,T42)&gt;0),1,0))+IF(U42='Resultats Reals'!$C$21,2,IF(OR(U42='Resultats Reals'!$C$20,COUNTIF('Resultats Reals'!$E$2:$E$33,U42)&gt;0),1,0))+IF(V42='Resultats Reals'!$C$24,2,IF(OR(V42='Resultats Reals'!$C$23,COUNTIF('Resultats Reals'!$E$2:$E$33,V42)&gt;0),1,0))+IF(W42='Resultats Reals'!$C$27,2,IF(OR(W42='Resultats Reals'!$C$26,COUNTIF('Resultats Reals'!$E$2:$E$33,W42)&gt;0),1,0))+IF(X42='Resultats Reals'!$C$30,2,IF(OR(X42='Resultats Reals'!$C$29,COUNTIF('Resultats Reals'!$E$2:$E$33,X42)&gt;0),1,0))+IF(Y42='Resultats Reals'!$C$33,2,IF(OR(Y42='Resultats Reals'!$C$32,COUNTIF('Resultats Reals'!$E$2:$E$33,Y42)&gt;0),1,0))+IF(Z42='Resultats Reals'!$C$36,2,IF(OR(Z42='Resultats Reals'!$C$35,COUNTIF('Resultats Reals'!$E$2:$E$33,Z42)&gt;0),1,0))</f>
        <v>15</v>
      </c>
      <c r="BW42">
        <f>IF(AA42='Resultats Reals'!$C$4,IF(COUNTIF('Resultats Reals'!$E$2:$E$33,AA42)&gt;0,2,0.5),IF(OR(AA42='Resultats Reals'!$C$2,AA42='Resultats Reals'!$C$3,COUNTIF('Resultats Reals'!$E$2:$E$33,AA42)&gt;0),1,0))+IF(AB42='Resultats Reals'!$C$7,IF(COUNTIF('Resultats Reals'!$E$2:$E$33,AB42)&gt;0,2,0.5),IF(OR(AB42='Resultats Reals'!$C$5,AB42='Resultats Reals'!$C$6,COUNTIF('Resultats Reals'!$E$2:$E$33,AB42)&gt;0),1,0))+IF(AC42='Resultats Reals'!$C$10,IF(COUNTIF('Resultats Reals'!$E$2:$E$33,AC42)&gt;0,2,0.5),IF(OR(AC42='Resultats Reals'!$C$8,AC42='Resultats Reals'!$C$9,COUNTIF('Resultats Reals'!$E$2:$E$33,AC42)&gt;0),1,0))+IF(AD42='Resultats Reals'!$C$13,IF(COUNTIF('Resultats Reals'!$E$2:$E$33,AD42)&gt;0,2,0.5),IF(OR(AD42='Resultats Reals'!$C$11,AD42='Resultats Reals'!$C$12,COUNTIF('Resultats Reals'!$E$2:$E$33,AD42)&gt;0),1,0))+IF(AE42='Resultats Reals'!$C$16,IF(COUNTIF('Resultats Reals'!$E$2:$E$33,AE42)&gt;0,2,0.5),IF(OR(AE42='Resultats Reals'!$C$14,AE42='Resultats Reals'!$C$15,COUNTIF('Resultats Reals'!$E$2:$E$33,AE42)&gt;0),1,0))+IF(AF42='Resultats Reals'!$C$19,IF(COUNTIF('Resultats Reals'!$E$2:$E$33,AF42)&gt;0,2,0.5),IF(OR(AF42='Resultats Reals'!$C$17,AF42='Resultats Reals'!$C$18,COUNTIF('Resultats Reals'!$E$2:$E$33,AF42)&gt;0),1,0))+IF(AG42='Resultats Reals'!$C$22,IF(COUNTIF('Resultats Reals'!$E$2:$E$33,AG42)&gt;0,2,0.5),IF(OR(AG42='Resultats Reals'!$C$20,AG42='Resultats Reals'!$C$21,COUNTIF('Resultats Reals'!$E$2:$E$33,AG42)&gt;0),1,0))+IF(AH42='Resultats Reals'!$C$25,IF(COUNTIF('Resultats Reals'!$E$2:$E$33,AH42)&gt;0,2,0.5),IF(OR(AH42='Resultats Reals'!$C$23,AH42='Resultats Reals'!$C$24,COUNTIF('Resultats Reals'!$E$2:$E$33,AH42)&gt;0),1,0))+IF(AI42='Resultats Reals'!$C$28,IF(COUNTIF('Resultats Reals'!$E$2:$E$33,AI42)&gt;0,2,0.5),IF(OR(AI42='Resultats Reals'!$C$26,AI42='Resultats Reals'!$C$27,COUNTIF('Resultats Reals'!$E$2:$E$33,AI42)&gt;0),1,0))+IF(AJ42='Resultats Reals'!$C$31,IF(COUNTIF('Resultats Reals'!$E$2:$E$33,AJ42)&gt;0,2,0.5),IF(OR(AJ42='Resultats Reals'!$C$29,AJ42='Resultats Reals'!$C$30,COUNTIF('Resultats Reals'!$E$2:$E$33,AJ42)&gt;0),1,0))+IF(AK42='Resultats Reals'!$C$34,IF(COUNTIF('Resultats Reals'!$E$2:$E$33,AK42)&gt;0,2,0.5),IF(OR(AK42='Resultats Reals'!$C$32,AK42='Resultats Reals'!$C$33,COUNTIF('Resultats Reals'!$E$2:$E$33,AK42)&gt;0),1,0))+IF(AL42='Resultats Reals'!$C$37,IF(COUNTIF('Resultats Reals'!$E$2:$E$33,AL42)&gt;0,2,0.5),IF(OR(AL42='Resultats Reals'!$C$35,AL42='Resultats Reals'!$C$36,COUNTIF('Resultats Reals'!$E$2:$E$33,AL42)&gt;0),1,0))</f>
        <v>9</v>
      </c>
      <c r="BX42">
        <f>IF(COUNTIF('Resultats Reals'!$F$2:$F$17,AM42)&gt;0,1,0)+IF(COUNTIF('Resultats Reals'!$F$2:$F$17,AN42)&gt;0,1,0)+IF(COUNTIF('Resultats Reals'!$F$2:$F$17,AO42)&gt;0,1,0)+IF(COUNTIF('Resultats Reals'!$F$2:$F$17,AP42)&gt;0,1,0)+IF(COUNTIF('Resultats Reals'!$F$2:$F$17,AQ42)&gt;0,1,0)+IF(COUNTIF('Resultats Reals'!$F$2:$F$17,AR42)&gt;0,1,0)+IF(COUNTIF('Resultats Reals'!$F$2:$F$17,AS42)&gt;0,1,0)+IF(COUNTIF('Resultats Reals'!$F$2:$F$17,AT42)&gt;0,1,0)+IF(COUNTIF('Resultats Reals'!$F$2:$F$17,AU42)&gt;0,1,0)+IF(COUNTIF('Resultats Reals'!$F$2:$F$17,AV42)&gt;0,1,0)+IF(COUNTIF('Resultats Reals'!$F$2:$F$17,AW42)&gt;0,1,0)+IF(COUNTIF('Resultats Reals'!$F$2:$F$17,AX42)&gt;0,1,0)+IF(COUNTIF('Resultats Reals'!$F$2:$F$17,AY42)&gt;0,1,0)+IF(COUNTIF('Resultats Reals'!$F$2:$F$17,AZ42)&gt;0,1,0)+IF(COUNTIF('Resultats Reals'!$F$2:$F$17,BA42)&gt;0,1,0)+IF(COUNTIF('Resultats Reals'!$F$2:$F$17,BB42)&gt;0,1,0)</f>
        <v>9</v>
      </c>
      <c r="BY42">
        <f>IF(COUNTIF('Resultats Reals'!$G$2:$G$9,BC42)&gt;0,1,0)+IF(COUNTIF('Resultats Reals'!$G$2:$G$9,BD42)&gt;0,1,0)+IF(COUNTIF('Resultats Reals'!$G$2:$G$9,BE42)&gt;0,1,0)+IF(COUNTIF('Resultats Reals'!$G$2:$G$9,BF42)&gt;0,1,0)+IF(COUNTIF('Resultats Reals'!$G$2:$G$9,BG42)&gt;0,1,0)+IF(COUNTIF('Resultats Reals'!$G$2:$G$9,BH42)&gt;0,1,0)+IF(COUNTIF('Resultats Reals'!$G$2:$G$9,BI42)&gt;0,1,0)+IF(COUNTIF('Resultats Reals'!$G$2:$G$9,BJ42)&gt;0,1,0)</f>
        <v>4</v>
      </c>
      <c r="BZ42">
        <f>IF(COUNTIF('Resultats Reals'!$H$2:$H$5,BK42)&gt;0,1,0)+IF(COUNTIF('Resultats Reals'!$H$2:$H$5,BL42)&gt;0,1,0)+IF(COUNTIF('Resultats Reals'!$H$2:$H$5,BM42)&gt;0,1,0)+IF(COUNTIF('Resultats Reals'!$H$2:$H$5,BN42)&gt;0,1,0)</f>
        <v>3</v>
      </c>
      <c r="CA42">
        <f>IF(COUNTIF('Resultats Reals'!$I$2:$I$3,BO42)&gt;0,3,0)+IF(COUNTIF('Resultats Reals'!$I$2:$I$3,BP42)&gt;0,3,0)</f>
        <v>0</v>
      </c>
      <c r="CB42">
        <f>IF(BQ42='Resultats Reals'!$J$2,5,0)</f>
        <v>0</v>
      </c>
      <c r="CC42">
        <f>IF(BS42='Resultats Reals'!$K$2,5,0)</f>
        <v>0</v>
      </c>
      <c r="CD42">
        <f>IFERROR(VLOOKUP(BT42,'Resultats Reals'!$N$2:$O$100,2,FALSE),0)</f>
        <v>8</v>
      </c>
      <c r="CE42">
        <f>IF(BR42='Resultats Reals'!$L$2,5,0)</f>
        <v>0</v>
      </c>
      <c r="CF42" s="7">
        <f t="shared" si="0"/>
        <v>69</v>
      </c>
    </row>
    <row r="43" spans="1:84" x14ac:dyDescent="0.25">
      <c r="A43" t="s">
        <v>129</v>
      </c>
      <c r="B43" t="s">
        <v>85</v>
      </c>
      <c r="C43" t="s">
        <v>86</v>
      </c>
      <c r="D43" t="s">
        <v>87</v>
      </c>
      <c r="E43" t="s">
        <v>88</v>
      </c>
      <c r="F43" t="s">
        <v>89</v>
      </c>
      <c r="G43" t="s">
        <v>90</v>
      </c>
      <c r="H43" t="s">
        <v>91</v>
      </c>
      <c r="I43" t="s">
        <v>92</v>
      </c>
      <c r="J43" t="s">
        <v>93</v>
      </c>
      <c r="K43" t="s">
        <v>94</v>
      </c>
      <c r="L43" t="s">
        <v>95</v>
      </c>
      <c r="M43" t="s">
        <v>96</v>
      </c>
      <c r="N43" t="s">
        <v>97</v>
      </c>
      <c r="O43" t="s">
        <v>98</v>
      </c>
      <c r="P43" t="s">
        <v>99</v>
      </c>
      <c r="Q43" t="s">
        <v>100</v>
      </c>
      <c r="R43" t="s">
        <v>101</v>
      </c>
      <c r="S43" t="s">
        <v>102</v>
      </c>
      <c r="T43" t="s">
        <v>114</v>
      </c>
      <c r="U43" t="s">
        <v>104</v>
      </c>
      <c r="V43" t="s">
        <v>105</v>
      </c>
      <c r="W43" t="s">
        <v>106</v>
      </c>
      <c r="X43" t="s">
        <v>107</v>
      </c>
      <c r="Y43" t="s">
        <v>108</v>
      </c>
      <c r="Z43" t="s">
        <v>109</v>
      </c>
      <c r="AA43" t="s">
        <v>130</v>
      </c>
      <c r="AB43" t="s">
        <v>125</v>
      </c>
      <c r="AC43" t="s">
        <v>111</v>
      </c>
      <c r="AD43" t="s">
        <v>126</v>
      </c>
      <c r="AE43" t="s">
        <v>113</v>
      </c>
      <c r="AF43" t="s">
        <v>131</v>
      </c>
      <c r="AG43" t="s">
        <v>115</v>
      </c>
      <c r="AH43" t="s">
        <v>116</v>
      </c>
      <c r="AI43" t="s">
        <v>117</v>
      </c>
      <c r="AJ43" t="s">
        <v>118</v>
      </c>
      <c r="AK43" t="s">
        <v>119</v>
      </c>
      <c r="AL43" t="s">
        <v>120</v>
      </c>
      <c r="AM43" t="s">
        <v>99</v>
      </c>
      <c r="AN43" t="s">
        <v>88</v>
      </c>
      <c r="AO43" t="s">
        <v>90</v>
      </c>
      <c r="AP43" t="s">
        <v>91</v>
      </c>
      <c r="AQ43" t="s">
        <v>102</v>
      </c>
      <c r="AR43" t="s">
        <v>94</v>
      </c>
      <c r="AS43" t="s">
        <v>86</v>
      </c>
      <c r="AT43" t="s">
        <v>97</v>
      </c>
      <c r="AU43" t="s">
        <v>92</v>
      </c>
      <c r="AV43" t="s">
        <v>89</v>
      </c>
      <c r="AW43" t="s">
        <v>93</v>
      </c>
      <c r="AX43" t="s">
        <v>109</v>
      </c>
      <c r="AY43" t="s">
        <v>87</v>
      </c>
      <c r="AZ43" t="s">
        <v>101</v>
      </c>
      <c r="BA43" t="s">
        <v>95</v>
      </c>
      <c r="BB43" t="s">
        <v>96</v>
      </c>
      <c r="BC43" t="s">
        <v>88</v>
      </c>
      <c r="BD43" t="s">
        <v>91</v>
      </c>
      <c r="BE43" t="s">
        <v>94</v>
      </c>
      <c r="BF43" t="s">
        <v>97</v>
      </c>
      <c r="BG43" t="s">
        <v>89</v>
      </c>
      <c r="BH43" t="s">
        <v>93</v>
      </c>
      <c r="BI43" t="s">
        <v>101</v>
      </c>
      <c r="BJ43" t="s">
        <v>96</v>
      </c>
      <c r="BK43" t="s">
        <v>91</v>
      </c>
      <c r="BL43" t="s">
        <v>97</v>
      </c>
      <c r="BM43" t="s">
        <v>93</v>
      </c>
      <c r="BN43" t="s">
        <v>96</v>
      </c>
      <c r="BO43" t="s">
        <v>93</v>
      </c>
      <c r="BP43" t="s">
        <v>97</v>
      </c>
      <c r="BQ43" t="s">
        <v>93</v>
      </c>
      <c r="BS43" t="s">
        <v>132</v>
      </c>
      <c r="BT43" t="s">
        <v>133</v>
      </c>
      <c r="BU43">
        <f>IF(C43='Resultats Reals'!$C$2,2,IF(OR(C43='Resultats Reals'!$C$3,COUNTIF('Resultats Reals'!$E$2:$E$33,C43)&gt;0),1,0))+IF(D43='Resultats Reals'!$C$5,2,IF(OR(D43='Resultats Reals'!$C$6,COUNTIF('Resultats Reals'!$E$2:$E$33,D43)&gt;0),1,0))+IF(E43='Resultats Reals'!$C$8,2,IF(OR(E43='Resultats Reals'!$C$9,COUNTIF('Resultats Reals'!$E$2:$E$33,E43)&gt;0),1,0))+IF(F43='Resultats Reals'!$C$11,2,IF(OR(F43='Resultats Reals'!$C$12,COUNTIF('Resultats Reals'!$E$2:$E$33,F43)&gt;0),1,0))+IF(G43='Resultats Reals'!$C$14,2,IF(OR(G43='Resultats Reals'!$C$15,COUNTIF('Resultats Reals'!$E$2:$E$33,G43)&gt;0),1,0))+IF(H43='Resultats Reals'!$C$17,2,IF(OR(H43='Resultats Reals'!$C$18,COUNTIF('Resultats Reals'!$E$2:$E$33,H43)&gt;0),1,0))+IF(I43='Resultats Reals'!$C$20,2,IF(OR(I43='Resultats Reals'!$C$21,COUNTIF('Resultats Reals'!$E$2:$E$33,I43)&gt;0),1,0))+IF(J43='Resultats Reals'!$C$23,2,IF(OR(J43='Resultats Reals'!$C$24,COUNTIF('Resultats Reals'!$E$2:$E$33,J43)&gt;0),1,0))+IF(K43='Resultats Reals'!$C$26,2,IF(OR(K43='Resultats Reals'!$C$27,COUNTIF('Resultats Reals'!$E$2:$E$33,K43)&gt;0),1,0))+IF(L43='Resultats Reals'!$C$29,2,IF(OR(L43='Resultats Reals'!$C$30,COUNTIF('Resultats Reals'!$E$2:$E$33,L43)&gt;0),1,0))+IF(M43='Resultats Reals'!$C$32,2,IF(OR(M43='Resultats Reals'!$C$33,COUNTIF('Resultats Reals'!$E$2:$E$33,M43)&gt;0),1,0))+IF(N43='Resultats Reals'!$C$35,2,IF(OR(N43='Resultats Reals'!$C$36,COUNTIF('Resultats Reals'!$E$2:$E$33,N43)&gt;0),1,0))</f>
        <v>23</v>
      </c>
      <c r="BV43">
        <f>IF(O43='Resultats Reals'!$C$3,2,IF(OR(O43='Resultats Reals'!$C$2,COUNTIF('Resultats Reals'!$E$2:$E$33,O43)&gt;0),1,0))+IF(P43='Resultats Reals'!$C$6,2,IF(OR(P43='Resultats Reals'!$C$5,COUNTIF('Resultats Reals'!$E$2:$E$33,P43)&gt;0),1,0))+IF(Q43='Resultats Reals'!$C$9,2,IF(OR(Q43='Resultats Reals'!$C$8,COUNTIF('Resultats Reals'!$E$2:$E$33,Q43)&gt;0),1,0))+IF(R43='Resultats Reals'!$C$12,2,IF(OR(R43='Resultats Reals'!$C$11,COUNTIF('Resultats Reals'!$E$2:$E$33,R43)&gt;0),1,0))+IF(S43='Resultats Reals'!$C$15,2,IF(OR(S43='Resultats Reals'!$C$14,COUNTIF('Resultats Reals'!$E$2:$E$33,S43)&gt;0),1,0))+IF(T43='Resultats Reals'!$C$18,2,IF(OR(T43='Resultats Reals'!$C$17,COUNTIF('Resultats Reals'!$E$2:$E$33,T43)&gt;0),1,0))+IF(U43='Resultats Reals'!$C$21,2,IF(OR(U43='Resultats Reals'!$C$20,COUNTIF('Resultats Reals'!$E$2:$E$33,U43)&gt;0),1,0))+IF(V43='Resultats Reals'!$C$24,2,IF(OR(V43='Resultats Reals'!$C$23,COUNTIF('Resultats Reals'!$E$2:$E$33,V43)&gt;0),1,0))+IF(W43='Resultats Reals'!$C$27,2,IF(OR(W43='Resultats Reals'!$C$26,COUNTIF('Resultats Reals'!$E$2:$E$33,W43)&gt;0),1,0))+IF(X43='Resultats Reals'!$C$30,2,IF(OR(X43='Resultats Reals'!$C$29,COUNTIF('Resultats Reals'!$E$2:$E$33,X43)&gt;0),1,0))+IF(Y43='Resultats Reals'!$C$33,2,IF(OR(Y43='Resultats Reals'!$C$32,COUNTIF('Resultats Reals'!$E$2:$E$33,Y43)&gt;0),1,0))+IF(Z43='Resultats Reals'!$C$36,2,IF(OR(Z43='Resultats Reals'!$C$35,COUNTIF('Resultats Reals'!$E$2:$E$33,Z43)&gt;0),1,0))</f>
        <v>15</v>
      </c>
      <c r="BW43">
        <f>IF(AA43='Resultats Reals'!$C$4,IF(COUNTIF('Resultats Reals'!$E$2:$E$33,AA43)&gt;0,2,0.5),IF(OR(AA43='Resultats Reals'!$C$2,AA43='Resultats Reals'!$C$3,COUNTIF('Resultats Reals'!$E$2:$E$33,AA43)&gt;0),1,0))+IF(AB43='Resultats Reals'!$C$7,IF(COUNTIF('Resultats Reals'!$E$2:$E$33,AB43)&gt;0,2,0.5),IF(OR(AB43='Resultats Reals'!$C$5,AB43='Resultats Reals'!$C$6,COUNTIF('Resultats Reals'!$E$2:$E$33,AB43)&gt;0),1,0))+IF(AC43='Resultats Reals'!$C$10,IF(COUNTIF('Resultats Reals'!$E$2:$E$33,AC43)&gt;0,2,0.5),IF(OR(AC43='Resultats Reals'!$C$8,AC43='Resultats Reals'!$C$9,COUNTIF('Resultats Reals'!$E$2:$E$33,AC43)&gt;0),1,0))+IF(AD43='Resultats Reals'!$C$13,IF(COUNTIF('Resultats Reals'!$E$2:$E$33,AD43)&gt;0,2,0.5),IF(OR(AD43='Resultats Reals'!$C$11,AD43='Resultats Reals'!$C$12,COUNTIF('Resultats Reals'!$E$2:$E$33,AD43)&gt;0),1,0))+IF(AE43='Resultats Reals'!$C$16,IF(COUNTIF('Resultats Reals'!$E$2:$E$33,AE43)&gt;0,2,0.5),IF(OR(AE43='Resultats Reals'!$C$14,AE43='Resultats Reals'!$C$15,COUNTIF('Resultats Reals'!$E$2:$E$33,AE43)&gt;0),1,0))+IF(AF43='Resultats Reals'!$C$19,IF(COUNTIF('Resultats Reals'!$E$2:$E$33,AF43)&gt;0,2,0.5),IF(OR(AF43='Resultats Reals'!$C$17,AF43='Resultats Reals'!$C$18,COUNTIF('Resultats Reals'!$E$2:$E$33,AF43)&gt;0),1,0))+IF(AG43='Resultats Reals'!$C$22,IF(COUNTIF('Resultats Reals'!$E$2:$E$33,AG43)&gt;0,2,0.5),IF(OR(AG43='Resultats Reals'!$C$20,AG43='Resultats Reals'!$C$21,COUNTIF('Resultats Reals'!$E$2:$E$33,AG43)&gt;0),1,0))+IF(AH43='Resultats Reals'!$C$25,IF(COUNTIF('Resultats Reals'!$E$2:$E$33,AH43)&gt;0,2,0.5),IF(OR(AH43='Resultats Reals'!$C$23,AH43='Resultats Reals'!$C$24,COUNTIF('Resultats Reals'!$E$2:$E$33,AH43)&gt;0),1,0))+IF(AI43='Resultats Reals'!$C$28,IF(COUNTIF('Resultats Reals'!$E$2:$E$33,AI43)&gt;0,2,0.5),IF(OR(AI43='Resultats Reals'!$C$26,AI43='Resultats Reals'!$C$27,COUNTIF('Resultats Reals'!$E$2:$E$33,AI43)&gt;0),1,0))+IF(AJ43='Resultats Reals'!$C$31,IF(COUNTIF('Resultats Reals'!$E$2:$E$33,AJ43)&gt;0,2,0.5),IF(OR(AJ43='Resultats Reals'!$C$29,AJ43='Resultats Reals'!$C$30,COUNTIF('Resultats Reals'!$E$2:$E$33,AJ43)&gt;0),1,0))+IF(AK43='Resultats Reals'!$C$34,IF(COUNTIF('Resultats Reals'!$E$2:$E$33,AK43)&gt;0,2,0.5),IF(OR(AK43='Resultats Reals'!$C$32,AK43='Resultats Reals'!$C$33,COUNTIF('Resultats Reals'!$E$2:$E$33,AK43)&gt;0),1,0))+IF(AL43='Resultats Reals'!$C$37,IF(COUNTIF('Resultats Reals'!$E$2:$E$33,AL43)&gt;0,2,0.5),IF(OR(AL43='Resultats Reals'!$C$35,AL43='Resultats Reals'!$C$36,COUNTIF('Resultats Reals'!$E$2:$E$33,AL43)&gt;0),1,0))</f>
        <v>9</v>
      </c>
      <c r="BX43">
        <f>IF(COUNTIF('Resultats Reals'!$F$2:$F$17,AM43)&gt;0,1,0)+IF(COUNTIF('Resultats Reals'!$F$2:$F$17,AN43)&gt;0,1,0)+IF(COUNTIF('Resultats Reals'!$F$2:$F$17,AO43)&gt;0,1,0)+IF(COUNTIF('Resultats Reals'!$F$2:$F$17,AP43)&gt;0,1,0)+IF(COUNTIF('Resultats Reals'!$F$2:$F$17,AQ43)&gt;0,1,0)+IF(COUNTIF('Resultats Reals'!$F$2:$F$17,AR43)&gt;0,1,0)+IF(COUNTIF('Resultats Reals'!$F$2:$F$17,AS43)&gt;0,1,0)+IF(COUNTIF('Resultats Reals'!$F$2:$F$17,AT43)&gt;0,1,0)+IF(COUNTIF('Resultats Reals'!$F$2:$F$17,AU43)&gt;0,1,0)+IF(COUNTIF('Resultats Reals'!$F$2:$F$17,AV43)&gt;0,1,0)+IF(COUNTIF('Resultats Reals'!$F$2:$F$17,AW43)&gt;0,1,0)+IF(COUNTIF('Resultats Reals'!$F$2:$F$17,AX43)&gt;0,1,0)+IF(COUNTIF('Resultats Reals'!$F$2:$F$17,AY43)&gt;0,1,0)+IF(COUNTIF('Resultats Reals'!$F$2:$F$17,AZ43)&gt;0,1,0)+IF(COUNTIF('Resultats Reals'!$F$2:$F$17,BA43)&gt;0,1,0)+IF(COUNTIF('Resultats Reals'!$F$2:$F$17,BB43)&gt;0,1,0)</f>
        <v>11</v>
      </c>
      <c r="BY43">
        <f>IF(COUNTIF('Resultats Reals'!$G$2:$G$9,BC43)&gt;0,1,0)+IF(COUNTIF('Resultats Reals'!$G$2:$G$9,BD43)&gt;0,1,0)+IF(COUNTIF('Resultats Reals'!$G$2:$G$9,BE43)&gt;0,1,0)+IF(COUNTIF('Resultats Reals'!$G$2:$G$9,BF43)&gt;0,1,0)+IF(COUNTIF('Resultats Reals'!$G$2:$G$9,BG43)&gt;0,1,0)+IF(COUNTIF('Resultats Reals'!$G$2:$G$9,BH43)&gt;0,1,0)+IF(COUNTIF('Resultats Reals'!$G$2:$G$9,BI43)&gt;0,1,0)+IF(COUNTIF('Resultats Reals'!$G$2:$G$9,BJ43)&gt;0,1,0)</f>
        <v>3</v>
      </c>
      <c r="BZ43">
        <f>IF(COUNTIF('Resultats Reals'!$H$2:$H$5,BK43)&gt;0,1,0)+IF(COUNTIF('Resultats Reals'!$H$2:$H$5,BL43)&gt;0,1,0)+IF(COUNTIF('Resultats Reals'!$H$2:$H$5,BM43)&gt;0,1,0)+IF(COUNTIF('Resultats Reals'!$H$2:$H$5,BN43)&gt;0,1,0)</f>
        <v>2</v>
      </c>
      <c r="CA43">
        <f>IF(COUNTIF('Resultats Reals'!$I$2:$I$3,BO43)&gt;0,3,0)+IF(COUNTIF('Resultats Reals'!$I$2:$I$3,BP43)&gt;0,3,0)</f>
        <v>0</v>
      </c>
      <c r="CB43">
        <f>IF(BQ43='Resultats Reals'!$J$2,5,0)</f>
        <v>0</v>
      </c>
      <c r="CC43">
        <f>IF(BS43='Resultats Reals'!$K$2,5,0)</f>
        <v>0</v>
      </c>
      <c r="CD43">
        <f>IFERROR(VLOOKUP(BT43,'Resultats Reals'!$N$2:$O$100,2,FALSE),0)</f>
        <v>0</v>
      </c>
      <c r="CE43">
        <f>IF(BR43='Resultats Reals'!$L$2,5,0)</f>
        <v>0</v>
      </c>
      <c r="CF43" s="7">
        <f t="shared" si="0"/>
        <v>63</v>
      </c>
    </row>
    <row r="44" spans="1:84" x14ac:dyDescent="0.25">
      <c r="A44" t="s">
        <v>174</v>
      </c>
      <c r="B44" t="s">
        <v>172</v>
      </c>
      <c r="C44" t="s">
        <v>98</v>
      </c>
      <c r="D44" t="s">
        <v>87</v>
      </c>
      <c r="E44" t="s">
        <v>88</v>
      </c>
      <c r="F44" t="s">
        <v>112</v>
      </c>
      <c r="G44" t="s">
        <v>90</v>
      </c>
      <c r="H44" t="s">
        <v>91</v>
      </c>
      <c r="I44" t="s">
        <v>104</v>
      </c>
      <c r="J44" t="s">
        <v>93</v>
      </c>
      <c r="K44" t="s">
        <v>94</v>
      </c>
      <c r="L44" t="s">
        <v>95</v>
      </c>
      <c r="M44" t="s">
        <v>108</v>
      </c>
      <c r="N44" t="s">
        <v>109</v>
      </c>
      <c r="O44" t="s">
        <v>110</v>
      </c>
      <c r="P44" t="s">
        <v>245</v>
      </c>
      <c r="Q44" t="s">
        <v>100</v>
      </c>
      <c r="R44" t="s">
        <v>101</v>
      </c>
      <c r="S44" t="s">
        <v>102</v>
      </c>
      <c r="T44" t="s">
        <v>114</v>
      </c>
      <c r="U44" t="s">
        <v>92</v>
      </c>
      <c r="V44" t="s">
        <v>105</v>
      </c>
      <c r="W44" t="s">
        <v>117</v>
      </c>
      <c r="X44" t="s">
        <v>118</v>
      </c>
      <c r="Y44" t="s">
        <v>96</v>
      </c>
      <c r="Z44" t="s">
        <v>97</v>
      </c>
      <c r="AA44" t="s">
        <v>130</v>
      </c>
      <c r="AB44" t="s">
        <v>99</v>
      </c>
      <c r="AC44" t="s">
        <v>170</v>
      </c>
      <c r="AD44" t="s">
        <v>89</v>
      </c>
      <c r="AE44" t="s">
        <v>113</v>
      </c>
      <c r="AF44" t="s">
        <v>103</v>
      </c>
      <c r="AG44" t="s">
        <v>138</v>
      </c>
      <c r="AH44" t="s">
        <v>142</v>
      </c>
      <c r="AI44" t="s">
        <v>106</v>
      </c>
      <c r="AJ44" t="s">
        <v>107</v>
      </c>
      <c r="AK44" t="s">
        <v>127</v>
      </c>
      <c r="AL44" t="s">
        <v>120</v>
      </c>
      <c r="AM44" t="s">
        <v>98</v>
      </c>
      <c r="AN44" t="s">
        <v>105</v>
      </c>
      <c r="AO44" t="s">
        <v>88</v>
      </c>
      <c r="AP44" t="s">
        <v>112</v>
      </c>
      <c r="AQ44" t="s">
        <v>90</v>
      </c>
      <c r="AR44" t="s">
        <v>91</v>
      </c>
      <c r="AS44" t="s">
        <v>104</v>
      </c>
      <c r="AT44" t="s">
        <v>93</v>
      </c>
      <c r="AU44" t="s">
        <v>94</v>
      </c>
      <c r="AV44" t="s">
        <v>95</v>
      </c>
      <c r="AW44" t="s">
        <v>108</v>
      </c>
      <c r="AX44" t="s">
        <v>109</v>
      </c>
      <c r="AY44" t="s">
        <v>96</v>
      </c>
      <c r="AZ44" t="s">
        <v>97</v>
      </c>
      <c r="BA44" t="s">
        <v>117</v>
      </c>
      <c r="BB44" t="s">
        <v>100</v>
      </c>
      <c r="BC44" t="s">
        <v>93</v>
      </c>
      <c r="BD44" t="s">
        <v>94</v>
      </c>
      <c r="BE44" t="s">
        <v>88</v>
      </c>
      <c r="BF44" t="s">
        <v>90</v>
      </c>
      <c r="BG44" t="s">
        <v>95</v>
      </c>
      <c r="BH44" t="s">
        <v>117</v>
      </c>
      <c r="BI44" t="s">
        <v>109</v>
      </c>
      <c r="BJ44" t="s">
        <v>91</v>
      </c>
      <c r="BK44" t="s">
        <v>93</v>
      </c>
      <c r="BL44" t="s">
        <v>94</v>
      </c>
      <c r="BM44" t="s">
        <v>95</v>
      </c>
      <c r="BN44" t="s">
        <v>88</v>
      </c>
      <c r="BO44" t="s">
        <v>93</v>
      </c>
      <c r="BP44" t="s">
        <v>95</v>
      </c>
      <c r="BQ44" t="s">
        <v>93</v>
      </c>
      <c r="BS44" t="s">
        <v>128</v>
      </c>
      <c r="BT44" t="s">
        <v>132</v>
      </c>
      <c r="BU44">
        <f>IF(C44='Resultats Reals'!$C$2,2,IF(OR(C44='Resultats Reals'!$C$3,COUNTIF('Resultats Reals'!$E$2:$E$33,C44)&gt;0),1,0))+IF(D44='Resultats Reals'!$C$5,2,IF(OR(D44='Resultats Reals'!$C$6,COUNTIF('Resultats Reals'!$E$2:$E$33,D44)&gt;0),1,0))+IF(E44='Resultats Reals'!$C$8,2,IF(OR(E44='Resultats Reals'!$C$9,COUNTIF('Resultats Reals'!$E$2:$E$33,E44)&gt;0),1,0))+IF(F44='Resultats Reals'!$C$11,2,IF(OR(F44='Resultats Reals'!$C$12,COUNTIF('Resultats Reals'!$E$2:$E$33,F44)&gt;0),1,0))+IF(G44='Resultats Reals'!$C$14,2,IF(OR(G44='Resultats Reals'!$C$15,COUNTIF('Resultats Reals'!$E$2:$E$33,G44)&gt;0),1,0))+IF(H44='Resultats Reals'!$C$17,2,IF(OR(H44='Resultats Reals'!$C$18,COUNTIF('Resultats Reals'!$E$2:$E$33,H44)&gt;0),1,0))+IF(I44='Resultats Reals'!$C$20,2,IF(OR(I44='Resultats Reals'!$C$21,COUNTIF('Resultats Reals'!$E$2:$E$33,I44)&gt;0),1,0))+IF(J44='Resultats Reals'!$C$23,2,IF(OR(J44='Resultats Reals'!$C$24,COUNTIF('Resultats Reals'!$E$2:$E$33,J44)&gt;0),1,0))+IF(K44='Resultats Reals'!$C$26,2,IF(OR(K44='Resultats Reals'!$C$27,COUNTIF('Resultats Reals'!$E$2:$E$33,K44)&gt;0),1,0))+IF(L44='Resultats Reals'!$C$29,2,IF(OR(L44='Resultats Reals'!$C$30,COUNTIF('Resultats Reals'!$E$2:$E$33,L44)&gt;0),1,0))+IF(M44='Resultats Reals'!$C$32,2,IF(OR(M44='Resultats Reals'!$C$33,COUNTIF('Resultats Reals'!$E$2:$E$33,M44)&gt;0),1,0))+IF(N44='Resultats Reals'!$C$35,2,IF(OR(N44='Resultats Reals'!$C$36,COUNTIF('Resultats Reals'!$E$2:$E$33,N44)&gt;0),1,0))</f>
        <v>19</v>
      </c>
      <c r="BV44">
        <f>IF(O44='Resultats Reals'!$C$3,2,IF(OR(O44='Resultats Reals'!$C$2,COUNTIF('Resultats Reals'!$E$2:$E$33,O44)&gt;0),1,0))+IF(P44='Resultats Reals'!$C$6,2,IF(OR(P44='Resultats Reals'!$C$5,COUNTIF('Resultats Reals'!$E$2:$E$33,P44)&gt;0),1,0))+IF(Q44='Resultats Reals'!$C$9,2,IF(OR(Q44='Resultats Reals'!$C$8,COUNTIF('Resultats Reals'!$E$2:$E$33,Q44)&gt;0),1,0))+IF(R44='Resultats Reals'!$C$12,2,IF(OR(R44='Resultats Reals'!$C$11,COUNTIF('Resultats Reals'!$E$2:$E$33,R44)&gt;0),1,0))+IF(S44='Resultats Reals'!$C$15,2,IF(OR(S44='Resultats Reals'!$C$14,COUNTIF('Resultats Reals'!$E$2:$E$33,S44)&gt;0),1,0))+IF(T44='Resultats Reals'!$C$18,2,IF(OR(T44='Resultats Reals'!$C$17,COUNTIF('Resultats Reals'!$E$2:$E$33,T44)&gt;0),1,0))+IF(U44='Resultats Reals'!$C$21,2,IF(OR(U44='Resultats Reals'!$C$20,COUNTIF('Resultats Reals'!$E$2:$E$33,U44)&gt;0),1,0))+IF(V44='Resultats Reals'!$C$24,2,IF(OR(V44='Resultats Reals'!$C$23,COUNTIF('Resultats Reals'!$E$2:$E$33,V44)&gt;0),1,0))+IF(W44='Resultats Reals'!$C$27,2,IF(OR(W44='Resultats Reals'!$C$26,COUNTIF('Resultats Reals'!$E$2:$E$33,W44)&gt;0),1,0))+IF(X44='Resultats Reals'!$C$30,2,IF(OR(X44='Resultats Reals'!$C$29,COUNTIF('Resultats Reals'!$E$2:$E$33,X44)&gt;0),1,0))+IF(Y44='Resultats Reals'!$C$33,2,IF(OR(Y44='Resultats Reals'!$C$32,COUNTIF('Resultats Reals'!$E$2:$E$33,Y44)&gt;0),1,0))+IF(Z44='Resultats Reals'!$C$36,2,IF(OR(Z44='Resultats Reals'!$C$35,COUNTIF('Resultats Reals'!$E$2:$E$33,Z44)&gt;0),1,0))</f>
        <v>13</v>
      </c>
      <c r="BW44">
        <f>IF(AA44='Resultats Reals'!$C$4,IF(COUNTIF('Resultats Reals'!$E$2:$E$33,AA44)&gt;0,2,0.5),IF(OR(AA44='Resultats Reals'!$C$2,AA44='Resultats Reals'!$C$3,COUNTIF('Resultats Reals'!$E$2:$E$33,AA44)&gt;0),1,0))+IF(AB44='Resultats Reals'!$C$7,IF(COUNTIF('Resultats Reals'!$E$2:$E$33,AB44)&gt;0,2,0.5),IF(OR(AB44='Resultats Reals'!$C$5,AB44='Resultats Reals'!$C$6,COUNTIF('Resultats Reals'!$E$2:$E$33,AB44)&gt;0),1,0))+IF(AC44='Resultats Reals'!$C$10,IF(COUNTIF('Resultats Reals'!$E$2:$E$33,AC44)&gt;0,2,0.5),IF(OR(AC44='Resultats Reals'!$C$8,AC44='Resultats Reals'!$C$9,COUNTIF('Resultats Reals'!$E$2:$E$33,AC44)&gt;0),1,0))+IF(AD44='Resultats Reals'!$C$13,IF(COUNTIF('Resultats Reals'!$E$2:$E$33,AD44)&gt;0,2,0.5),IF(OR(AD44='Resultats Reals'!$C$11,AD44='Resultats Reals'!$C$12,COUNTIF('Resultats Reals'!$E$2:$E$33,AD44)&gt;0),1,0))+IF(AE44='Resultats Reals'!$C$16,IF(COUNTIF('Resultats Reals'!$E$2:$E$33,AE44)&gt;0,2,0.5),IF(OR(AE44='Resultats Reals'!$C$14,AE44='Resultats Reals'!$C$15,COUNTIF('Resultats Reals'!$E$2:$E$33,AE44)&gt;0),1,0))+IF(AF44='Resultats Reals'!$C$19,IF(COUNTIF('Resultats Reals'!$E$2:$E$33,AF44)&gt;0,2,0.5),IF(OR(AF44='Resultats Reals'!$C$17,AF44='Resultats Reals'!$C$18,COUNTIF('Resultats Reals'!$E$2:$E$33,AF44)&gt;0),1,0))+IF(AG44='Resultats Reals'!$C$22,IF(COUNTIF('Resultats Reals'!$E$2:$E$33,AG44)&gt;0,2,0.5),IF(OR(AG44='Resultats Reals'!$C$20,AG44='Resultats Reals'!$C$21,COUNTIF('Resultats Reals'!$E$2:$E$33,AG44)&gt;0),1,0))+IF(AH44='Resultats Reals'!$C$25,IF(COUNTIF('Resultats Reals'!$E$2:$E$33,AH44)&gt;0,2,0.5),IF(OR(AH44='Resultats Reals'!$C$23,AH44='Resultats Reals'!$C$24,COUNTIF('Resultats Reals'!$E$2:$E$33,AH44)&gt;0),1,0))+IF(AI44='Resultats Reals'!$C$28,IF(COUNTIF('Resultats Reals'!$E$2:$E$33,AI44)&gt;0,2,0.5),IF(OR(AI44='Resultats Reals'!$C$26,AI44='Resultats Reals'!$C$27,COUNTIF('Resultats Reals'!$E$2:$E$33,AI44)&gt;0),1,0))+IF(AJ44='Resultats Reals'!$C$31,IF(COUNTIF('Resultats Reals'!$E$2:$E$33,AJ44)&gt;0,2,0.5),IF(OR(AJ44='Resultats Reals'!$C$29,AJ44='Resultats Reals'!$C$30,COUNTIF('Resultats Reals'!$E$2:$E$33,AJ44)&gt;0),1,0))+IF(AK44='Resultats Reals'!$C$34,IF(COUNTIF('Resultats Reals'!$E$2:$E$33,AK44)&gt;0,2,0.5),IF(OR(AK44='Resultats Reals'!$C$32,AK44='Resultats Reals'!$C$33,COUNTIF('Resultats Reals'!$E$2:$E$33,AK44)&gt;0),1,0))+IF(AL44='Resultats Reals'!$C$37,IF(COUNTIF('Resultats Reals'!$E$2:$E$33,AL44)&gt;0,2,0.5),IF(OR(AL44='Resultats Reals'!$C$35,AL44='Resultats Reals'!$C$36,COUNTIF('Resultats Reals'!$E$2:$E$33,AL44)&gt;0),1,0))</f>
        <v>14</v>
      </c>
      <c r="BX44">
        <f>IF(COUNTIF('Resultats Reals'!$F$2:$F$17,AM44)&gt;0,1,0)+IF(COUNTIF('Resultats Reals'!$F$2:$F$17,AN44)&gt;0,1,0)+IF(COUNTIF('Resultats Reals'!$F$2:$F$17,AO44)&gt;0,1,0)+IF(COUNTIF('Resultats Reals'!$F$2:$F$17,AP44)&gt;0,1,0)+IF(COUNTIF('Resultats Reals'!$F$2:$F$17,AQ44)&gt;0,1,0)+IF(COUNTIF('Resultats Reals'!$F$2:$F$17,AR44)&gt;0,1,0)+IF(COUNTIF('Resultats Reals'!$F$2:$F$17,AS44)&gt;0,1,0)+IF(COUNTIF('Resultats Reals'!$F$2:$F$17,AT44)&gt;0,1,0)+IF(COUNTIF('Resultats Reals'!$F$2:$F$17,AU44)&gt;0,1,0)+IF(COUNTIF('Resultats Reals'!$F$2:$F$17,AV44)&gt;0,1,0)+IF(COUNTIF('Resultats Reals'!$F$2:$F$17,AW44)&gt;0,1,0)+IF(COUNTIF('Resultats Reals'!$F$2:$F$17,AX44)&gt;0,1,0)+IF(COUNTIF('Resultats Reals'!$F$2:$F$17,AY44)&gt;0,1,0)+IF(COUNTIF('Resultats Reals'!$F$2:$F$17,AZ44)&gt;0,1,0)+IF(COUNTIF('Resultats Reals'!$F$2:$F$17,BA44)&gt;0,1,0)+IF(COUNTIF('Resultats Reals'!$F$2:$F$17,BB44)&gt;0,1,0)</f>
        <v>11</v>
      </c>
      <c r="BY44">
        <f>IF(COUNTIF('Resultats Reals'!$G$2:$G$9,BC44)&gt;0,1,0)+IF(COUNTIF('Resultats Reals'!$G$2:$G$9,BD44)&gt;0,1,0)+IF(COUNTIF('Resultats Reals'!$G$2:$G$9,BE44)&gt;0,1,0)+IF(COUNTIF('Resultats Reals'!$G$2:$G$9,BF44)&gt;0,1,0)+IF(COUNTIF('Resultats Reals'!$G$2:$G$9,BG44)&gt;0,1,0)+IF(COUNTIF('Resultats Reals'!$G$2:$G$9,BH44)&gt;0,1,0)+IF(COUNTIF('Resultats Reals'!$G$2:$G$9,BI44)&gt;0,1,0)+IF(COUNTIF('Resultats Reals'!$G$2:$G$9,BJ44)&gt;0,1,0)</f>
        <v>4</v>
      </c>
      <c r="BZ44">
        <f>IF(COUNTIF('Resultats Reals'!$H$2:$H$5,BK44)&gt;0,1,0)+IF(COUNTIF('Resultats Reals'!$H$2:$H$5,BL44)&gt;0,1,0)+IF(COUNTIF('Resultats Reals'!$H$2:$H$5,BM44)&gt;0,1,0)+IF(COUNTIF('Resultats Reals'!$H$2:$H$5,BN44)&gt;0,1,0)</f>
        <v>3</v>
      </c>
      <c r="CA44">
        <f>IF(COUNTIF('Resultats Reals'!$I$2:$I$3,BO44)&gt;0,3,0)+IF(COUNTIF('Resultats Reals'!$I$2:$I$3,BP44)&gt;0,3,0)</f>
        <v>0</v>
      </c>
      <c r="CB44">
        <f>IF(BQ44='Resultats Reals'!$J$2,5,0)</f>
        <v>0</v>
      </c>
      <c r="CC44">
        <f>IF(BS44='Resultats Reals'!$K$2,5,0)</f>
        <v>0</v>
      </c>
      <c r="CD44">
        <f>IFERROR(VLOOKUP(BT44,'Resultats Reals'!$N$2:$O$100,2,FALSE),0)</f>
        <v>0</v>
      </c>
      <c r="CE44">
        <f>IF(BR44='Resultats Reals'!$L$2,5,0)</f>
        <v>0</v>
      </c>
      <c r="CF44" s="7">
        <f t="shared" si="0"/>
        <v>64</v>
      </c>
    </row>
    <row r="45" spans="1:84" x14ac:dyDescent="0.25">
      <c r="A45" t="s">
        <v>181</v>
      </c>
      <c r="B45" t="s">
        <v>85</v>
      </c>
      <c r="C45" t="s">
        <v>86</v>
      </c>
      <c r="D45" t="s">
        <v>87</v>
      </c>
      <c r="E45" t="s">
        <v>88</v>
      </c>
      <c r="F45" t="s">
        <v>101</v>
      </c>
      <c r="G45" t="s">
        <v>90</v>
      </c>
      <c r="H45" t="s">
        <v>91</v>
      </c>
      <c r="I45" t="s">
        <v>182</v>
      </c>
      <c r="J45" t="s">
        <v>93</v>
      </c>
      <c r="K45" t="s">
        <v>94</v>
      </c>
      <c r="L45" t="s">
        <v>95</v>
      </c>
      <c r="M45" t="s">
        <v>96</v>
      </c>
      <c r="N45" t="s">
        <v>97</v>
      </c>
      <c r="O45" t="s">
        <v>110</v>
      </c>
      <c r="P45" t="s">
        <v>99</v>
      </c>
      <c r="Q45" t="s">
        <v>100</v>
      </c>
      <c r="R45" t="s">
        <v>89</v>
      </c>
      <c r="S45" t="s">
        <v>102</v>
      </c>
      <c r="T45" t="s">
        <v>103</v>
      </c>
      <c r="U45" t="s">
        <v>104</v>
      </c>
      <c r="V45" t="s">
        <v>105</v>
      </c>
      <c r="W45" t="s">
        <v>106</v>
      </c>
      <c r="X45" t="s">
        <v>107</v>
      </c>
      <c r="Y45" t="s">
        <v>108</v>
      </c>
      <c r="Z45" t="s">
        <v>109</v>
      </c>
      <c r="AA45" t="s">
        <v>98</v>
      </c>
      <c r="AB45" t="s">
        <v>245</v>
      </c>
      <c r="AC45" t="s">
        <v>111</v>
      </c>
      <c r="AD45" t="s">
        <v>126</v>
      </c>
      <c r="AE45" t="s">
        <v>113</v>
      </c>
      <c r="AF45" t="s">
        <v>114</v>
      </c>
      <c r="AG45" t="s">
        <v>115</v>
      </c>
      <c r="AH45" t="s">
        <v>116</v>
      </c>
      <c r="AI45" t="s">
        <v>117</v>
      </c>
      <c r="AJ45" t="s">
        <v>118</v>
      </c>
      <c r="AK45" t="s">
        <v>119</v>
      </c>
      <c r="AL45" t="s">
        <v>120</v>
      </c>
      <c r="AM45" t="s">
        <v>90</v>
      </c>
      <c r="AN45" t="s">
        <v>94</v>
      </c>
      <c r="AO45" t="s">
        <v>99</v>
      </c>
      <c r="AP45" t="s">
        <v>91</v>
      </c>
      <c r="AQ45" t="s">
        <v>108</v>
      </c>
      <c r="AR45" t="s">
        <v>93</v>
      </c>
      <c r="AS45" t="s">
        <v>101</v>
      </c>
      <c r="AT45" t="s">
        <v>92</v>
      </c>
      <c r="AU45" t="s">
        <v>88</v>
      </c>
      <c r="AV45" t="s">
        <v>106</v>
      </c>
      <c r="AW45" t="s">
        <v>86</v>
      </c>
      <c r="AX45" t="s">
        <v>97</v>
      </c>
      <c r="AY45" t="s">
        <v>95</v>
      </c>
      <c r="AZ45" t="s">
        <v>89</v>
      </c>
      <c r="BA45" t="s">
        <v>87</v>
      </c>
      <c r="BB45" t="s">
        <v>96</v>
      </c>
      <c r="BC45" t="s">
        <v>94</v>
      </c>
      <c r="BD45" t="s">
        <v>91</v>
      </c>
      <c r="BE45" t="s">
        <v>93</v>
      </c>
      <c r="BF45" t="s">
        <v>92</v>
      </c>
      <c r="BG45" t="s">
        <v>88</v>
      </c>
      <c r="BH45" t="s">
        <v>97</v>
      </c>
      <c r="BI45" t="s">
        <v>95</v>
      </c>
      <c r="BJ45" t="s">
        <v>96</v>
      </c>
      <c r="BK45" t="s">
        <v>94</v>
      </c>
      <c r="BL45" t="s">
        <v>93</v>
      </c>
      <c r="BM45" t="s">
        <v>88</v>
      </c>
      <c r="BN45" t="s">
        <v>96</v>
      </c>
      <c r="BO45" t="s">
        <v>93</v>
      </c>
      <c r="BP45" t="s">
        <v>96</v>
      </c>
      <c r="BQ45" t="s">
        <v>93</v>
      </c>
      <c r="BS45" t="s">
        <v>150</v>
      </c>
      <c r="BT45" t="s">
        <v>122</v>
      </c>
      <c r="BU45">
        <f>IF(C45='Resultats Reals'!$C$2,2,IF(OR(C45='Resultats Reals'!$C$3,COUNTIF('Resultats Reals'!$E$2:$E$33,C45)&gt;0),1,0))+IF(D45='Resultats Reals'!$C$5,2,IF(OR(D45='Resultats Reals'!$C$6,COUNTIF('Resultats Reals'!$E$2:$E$33,D45)&gt;0),1,0))+IF(E45='Resultats Reals'!$C$8,2,IF(OR(E45='Resultats Reals'!$C$9,COUNTIF('Resultats Reals'!$E$2:$E$33,E45)&gt;0),1,0))+IF(F45='Resultats Reals'!$C$11,2,IF(OR(F45='Resultats Reals'!$C$12,COUNTIF('Resultats Reals'!$E$2:$E$33,F45)&gt;0),1,0))+IF(G45='Resultats Reals'!$C$14,2,IF(OR(G45='Resultats Reals'!$C$15,COUNTIF('Resultats Reals'!$E$2:$E$33,G45)&gt;0),1,0))+IF(H45='Resultats Reals'!$C$17,2,IF(OR(H45='Resultats Reals'!$C$18,COUNTIF('Resultats Reals'!$E$2:$E$33,H45)&gt;0),1,0))+IF(I45='Resultats Reals'!$C$20,2,IF(OR(I45='Resultats Reals'!$C$21,COUNTIF('Resultats Reals'!$E$2:$E$33,I45)&gt;0),1,0))+IF(J45='Resultats Reals'!$C$23,2,IF(OR(J45='Resultats Reals'!$C$24,COUNTIF('Resultats Reals'!$E$2:$E$33,J45)&gt;0),1,0))+IF(K45='Resultats Reals'!$C$26,2,IF(OR(K45='Resultats Reals'!$C$27,COUNTIF('Resultats Reals'!$E$2:$E$33,K45)&gt;0),1,0))+IF(L45='Resultats Reals'!$C$29,2,IF(OR(L45='Resultats Reals'!$C$30,COUNTIF('Resultats Reals'!$E$2:$E$33,L45)&gt;0),1,0))+IF(M45='Resultats Reals'!$C$32,2,IF(OR(M45='Resultats Reals'!$C$33,COUNTIF('Resultats Reals'!$E$2:$E$33,M45)&gt;0),1,0))+IF(N45='Resultats Reals'!$C$35,2,IF(OR(N45='Resultats Reals'!$C$36,COUNTIF('Resultats Reals'!$E$2:$E$33,N45)&gt;0),1,0))</f>
        <v>19</v>
      </c>
      <c r="BV45">
        <f>IF(O45='Resultats Reals'!$C$3,2,IF(OR(O45='Resultats Reals'!$C$2,COUNTIF('Resultats Reals'!$E$2:$E$33,O45)&gt;0),1,0))+IF(P45='Resultats Reals'!$C$6,2,IF(OR(P45='Resultats Reals'!$C$5,COUNTIF('Resultats Reals'!$E$2:$E$33,P45)&gt;0),1,0))+IF(Q45='Resultats Reals'!$C$9,2,IF(OR(Q45='Resultats Reals'!$C$8,COUNTIF('Resultats Reals'!$E$2:$E$33,Q45)&gt;0),1,0))+IF(R45='Resultats Reals'!$C$12,2,IF(OR(R45='Resultats Reals'!$C$11,COUNTIF('Resultats Reals'!$E$2:$E$33,R45)&gt;0),1,0))+IF(S45='Resultats Reals'!$C$15,2,IF(OR(S45='Resultats Reals'!$C$14,COUNTIF('Resultats Reals'!$E$2:$E$33,S45)&gt;0),1,0))+IF(T45='Resultats Reals'!$C$18,2,IF(OR(T45='Resultats Reals'!$C$17,COUNTIF('Resultats Reals'!$E$2:$E$33,T45)&gt;0),1,0))+IF(U45='Resultats Reals'!$C$21,2,IF(OR(U45='Resultats Reals'!$C$20,COUNTIF('Resultats Reals'!$E$2:$E$33,U45)&gt;0),1,0))+IF(V45='Resultats Reals'!$C$24,2,IF(OR(V45='Resultats Reals'!$C$23,COUNTIF('Resultats Reals'!$E$2:$E$33,V45)&gt;0),1,0))+IF(W45='Resultats Reals'!$C$27,2,IF(OR(W45='Resultats Reals'!$C$26,COUNTIF('Resultats Reals'!$E$2:$E$33,W45)&gt;0),1,0))+IF(X45='Resultats Reals'!$C$30,2,IF(OR(X45='Resultats Reals'!$C$29,COUNTIF('Resultats Reals'!$E$2:$E$33,X45)&gt;0),1,0))+IF(Y45='Resultats Reals'!$C$33,2,IF(OR(Y45='Resultats Reals'!$C$32,COUNTIF('Resultats Reals'!$E$2:$E$33,Y45)&gt;0),1,0))+IF(Z45='Resultats Reals'!$C$36,2,IF(OR(Z45='Resultats Reals'!$C$35,COUNTIF('Resultats Reals'!$E$2:$E$33,Z45)&gt;0),1,0))</f>
        <v>15</v>
      </c>
      <c r="BW45">
        <f>IF(AA45='Resultats Reals'!$C$4,IF(COUNTIF('Resultats Reals'!$E$2:$E$33,AA45)&gt;0,2,0.5),IF(OR(AA45='Resultats Reals'!$C$2,AA45='Resultats Reals'!$C$3,COUNTIF('Resultats Reals'!$E$2:$E$33,AA45)&gt;0),1,0))+IF(AB45='Resultats Reals'!$C$7,IF(COUNTIF('Resultats Reals'!$E$2:$E$33,AB45)&gt;0,2,0.5),IF(OR(AB45='Resultats Reals'!$C$5,AB45='Resultats Reals'!$C$6,COUNTIF('Resultats Reals'!$E$2:$E$33,AB45)&gt;0),1,0))+IF(AC45='Resultats Reals'!$C$10,IF(COUNTIF('Resultats Reals'!$E$2:$E$33,AC45)&gt;0,2,0.5),IF(OR(AC45='Resultats Reals'!$C$8,AC45='Resultats Reals'!$C$9,COUNTIF('Resultats Reals'!$E$2:$E$33,AC45)&gt;0),1,0))+IF(AD45='Resultats Reals'!$C$13,IF(COUNTIF('Resultats Reals'!$E$2:$E$33,AD45)&gt;0,2,0.5),IF(OR(AD45='Resultats Reals'!$C$11,AD45='Resultats Reals'!$C$12,COUNTIF('Resultats Reals'!$E$2:$E$33,AD45)&gt;0),1,0))+IF(AE45='Resultats Reals'!$C$16,IF(COUNTIF('Resultats Reals'!$E$2:$E$33,AE45)&gt;0,2,0.5),IF(OR(AE45='Resultats Reals'!$C$14,AE45='Resultats Reals'!$C$15,COUNTIF('Resultats Reals'!$E$2:$E$33,AE45)&gt;0),1,0))+IF(AF45='Resultats Reals'!$C$19,IF(COUNTIF('Resultats Reals'!$E$2:$E$33,AF45)&gt;0,2,0.5),IF(OR(AF45='Resultats Reals'!$C$17,AF45='Resultats Reals'!$C$18,COUNTIF('Resultats Reals'!$E$2:$E$33,AF45)&gt;0),1,0))+IF(AG45='Resultats Reals'!$C$22,IF(COUNTIF('Resultats Reals'!$E$2:$E$33,AG45)&gt;0,2,0.5),IF(OR(AG45='Resultats Reals'!$C$20,AG45='Resultats Reals'!$C$21,COUNTIF('Resultats Reals'!$E$2:$E$33,AG45)&gt;0),1,0))+IF(AH45='Resultats Reals'!$C$25,IF(COUNTIF('Resultats Reals'!$E$2:$E$33,AH45)&gt;0,2,0.5),IF(OR(AH45='Resultats Reals'!$C$23,AH45='Resultats Reals'!$C$24,COUNTIF('Resultats Reals'!$E$2:$E$33,AH45)&gt;0),1,0))+IF(AI45='Resultats Reals'!$C$28,IF(COUNTIF('Resultats Reals'!$E$2:$E$33,AI45)&gt;0,2,0.5),IF(OR(AI45='Resultats Reals'!$C$26,AI45='Resultats Reals'!$C$27,COUNTIF('Resultats Reals'!$E$2:$E$33,AI45)&gt;0),1,0))+IF(AJ45='Resultats Reals'!$C$31,IF(COUNTIF('Resultats Reals'!$E$2:$E$33,AJ45)&gt;0,2,0.5),IF(OR(AJ45='Resultats Reals'!$C$29,AJ45='Resultats Reals'!$C$30,COUNTIF('Resultats Reals'!$E$2:$E$33,AJ45)&gt;0),1,0))+IF(AK45='Resultats Reals'!$C$34,IF(COUNTIF('Resultats Reals'!$E$2:$E$33,AK45)&gt;0,2,0.5),IF(OR(AK45='Resultats Reals'!$C$32,AK45='Resultats Reals'!$C$33,COUNTIF('Resultats Reals'!$E$2:$E$33,AK45)&gt;0),1,0))+IF(AL45='Resultats Reals'!$C$37,IF(COUNTIF('Resultats Reals'!$E$2:$E$33,AL45)&gt;0,2,0.5),IF(OR(AL45='Resultats Reals'!$C$35,AL45='Resultats Reals'!$C$36,COUNTIF('Resultats Reals'!$E$2:$E$33,AL45)&gt;0),1,0))</f>
        <v>11.5</v>
      </c>
      <c r="BX45">
        <f>IF(COUNTIF('Resultats Reals'!$F$2:$F$17,AM45)&gt;0,1,0)+IF(COUNTIF('Resultats Reals'!$F$2:$F$17,AN45)&gt;0,1,0)+IF(COUNTIF('Resultats Reals'!$F$2:$F$17,AO45)&gt;0,1,0)+IF(COUNTIF('Resultats Reals'!$F$2:$F$17,AP45)&gt;0,1,0)+IF(COUNTIF('Resultats Reals'!$F$2:$F$17,AQ45)&gt;0,1,0)+IF(COUNTIF('Resultats Reals'!$F$2:$F$17,AR45)&gt;0,1,0)+IF(COUNTIF('Resultats Reals'!$F$2:$F$17,AS45)&gt;0,1,0)+IF(COUNTIF('Resultats Reals'!$F$2:$F$17,AT45)&gt;0,1,0)+IF(COUNTIF('Resultats Reals'!$F$2:$F$17,AU45)&gt;0,1,0)+IF(COUNTIF('Resultats Reals'!$F$2:$F$17,AV45)&gt;0,1,0)+IF(COUNTIF('Resultats Reals'!$F$2:$F$17,AW45)&gt;0,1,0)+IF(COUNTIF('Resultats Reals'!$F$2:$F$17,AX45)&gt;0,1,0)+IF(COUNTIF('Resultats Reals'!$F$2:$F$17,AY45)&gt;0,1,0)+IF(COUNTIF('Resultats Reals'!$F$2:$F$17,AZ45)&gt;0,1,0)+IF(COUNTIF('Resultats Reals'!$F$2:$F$17,BA45)&gt;0,1,0)+IF(COUNTIF('Resultats Reals'!$F$2:$F$17,BB45)&gt;0,1,0)</f>
        <v>12</v>
      </c>
      <c r="BY45">
        <f>IF(COUNTIF('Resultats Reals'!$G$2:$G$9,BC45)&gt;0,1,0)+IF(COUNTIF('Resultats Reals'!$G$2:$G$9,BD45)&gt;0,1,0)+IF(COUNTIF('Resultats Reals'!$G$2:$G$9,BE45)&gt;0,1,0)+IF(COUNTIF('Resultats Reals'!$G$2:$G$9,BF45)&gt;0,1,0)+IF(COUNTIF('Resultats Reals'!$G$2:$G$9,BG45)&gt;0,1,0)+IF(COUNTIF('Resultats Reals'!$G$2:$G$9,BH45)&gt;0,1,0)+IF(COUNTIF('Resultats Reals'!$G$2:$G$9,BI45)&gt;0,1,0)+IF(COUNTIF('Resultats Reals'!$G$2:$G$9,BJ45)&gt;0,1,0)</f>
        <v>5</v>
      </c>
      <c r="BZ45">
        <f>IF(COUNTIF('Resultats Reals'!$H$2:$H$5,BK45)&gt;0,1,0)+IF(COUNTIF('Resultats Reals'!$H$2:$H$5,BL45)&gt;0,1,0)+IF(COUNTIF('Resultats Reals'!$H$2:$H$5,BM45)&gt;0,1,0)+IF(COUNTIF('Resultats Reals'!$H$2:$H$5,BN45)&gt;0,1,0)</f>
        <v>2</v>
      </c>
      <c r="CA45">
        <f>IF(COUNTIF('Resultats Reals'!$I$2:$I$3,BO45)&gt;0,3,0)+IF(COUNTIF('Resultats Reals'!$I$2:$I$3,BP45)&gt;0,3,0)</f>
        <v>0</v>
      </c>
      <c r="CB45">
        <f>IF(BQ45='Resultats Reals'!$J$2,5,0)</f>
        <v>0</v>
      </c>
      <c r="CC45">
        <f>IF(BS45='Resultats Reals'!$K$2,5,0)</f>
        <v>0</v>
      </c>
      <c r="CD45">
        <f>IFERROR(VLOOKUP(BT45,'Resultats Reals'!$N$2:$O$100,2,FALSE),0)</f>
        <v>4</v>
      </c>
      <c r="CE45">
        <f>IF(BR45='Resultats Reals'!$L$2,5,0)</f>
        <v>0</v>
      </c>
      <c r="CF45" s="7">
        <f t="shared" si="0"/>
        <v>68.5</v>
      </c>
    </row>
    <row r="46" spans="1:84" x14ac:dyDescent="0.25">
      <c r="A46" t="s">
        <v>192</v>
      </c>
      <c r="B46" t="s">
        <v>85</v>
      </c>
      <c r="C46" t="s">
        <v>86</v>
      </c>
      <c r="D46" t="s">
        <v>87</v>
      </c>
      <c r="E46" t="s">
        <v>88</v>
      </c>
      <c r="F46" t="s">
        <v>101</v>
      </c>
      <c r="G46" t="s">
        <v>90</v>
      </c>
      <c r="H46" t="s">
        <v>91</v>
      </c>
      <c r="I46" t="s">
        <v>92</v>
      </c>
      <c r="J46" t="s">
        <v>93</v>
      </c>
      <c r="K46" t="s">
        <v>117</v>
      </c>
      <c r="L46" t="s">
        <v>95</v>
      </c>
      <c r="M46" t="s">
        <v>96</v>
      </c>
      <c r="N46" t="s">
        <v>97</v>
      </c>
      <c r="O46" t="s">
        <v>98</v>
      </c>
      <c r="P46" t="s">
        <v>99</v>
      </c>
      <c r="Q46" t="s">
        <v>100</v>
      </c>
      <c r="R46" t="s">
        <v>89</v>
      </c>
      <c r="S46" t="s">
        <v>102</v>
      </c>
      <c r="T46" t="s">
        <v>103</v>
      </c>
      <c r="U46" t="s">
        <v>104</v>
      </c>
      <c r="V46" t="s">
        <v>105</v>
      </c>
      <c r="W46" t="s">
        <v>94</v>
      </c>
      <c r="X46" t="s">
        <v>107</v>
      </c>
      <c r="Y46" t="s">
        <v>108</v>
      </c>
      <c r="Z46" t="s">
        <v>109</v>
      </c>
      <c r="AA46" t="s">
        <v>110</v>
      </c>
      <c r="AB46" t="s">
        <v>245</v>
      </c>
      <c r="AC46" t="s">
        <v>111</v>
      </c>
      <c r="AD46" t="s">
        <v>126</v>
      </c>
      <c r="AE46" t="s">
        <v>113</v>
      </c>
      <c r="AF46" t="s">
        <v>114</v>
      </c>
      <c r="AG46" t="s">
        <v>138</v>
      </c>
      <c r="AH46" t="s">
        <v>116</v>
      </c>
      <c r="AI46" t="s">
        <v>106</v>
      </c>
      <c r="AJ46" t="s">
        <v>118</v>
      </c>
      <c r="AK46" t="s">
        <v>127</v>
      </c>
      <c r="AL46" t="s">
        <v>120</v>
      </c>
      <c r="AM46" t="s">
        <v>90</v>
      </c>
      <c r="AN46" t="s">
        <v>117</v>
      </c>
      <c r="AO46" t="s">
        <v>98</v>
      </c>
      <c r="AP46" t="s">
        <v>91</v>
      </c>
      <c r="AQ46" t="s">
        <v>108</v>
      </c>
      <c r="AR46" t="s">
        <v>93</v>
      </c>
      <c r="AS46" t="s">
        <v>101</v>
      </c>
      <c r="AT46" t="s">
        <v>92</v>
      </c>
      <c r="AU46" t="s">
        <v>88</v>
      </c>
      <c r="AV46" t="s">
        <v>94</v>
      </c>
      <c r="AW46" t="s">
        <v>86</v>
      </c>
      <c r="AX46" t="s">
        <v>97</v>
      </c>
      <c r="AY46" t="s">
        <v>95</v>
      </c>
      <c r="AZ46" t="s">
        <v>89</v>
      </c>
      <c r="BA46" t="s">
        <v>87</v>
      </c>
      <c r="BB46" t="s">
        <v>96</v>
      </c>
      <c r="BC46" t="s">
        <v>90</v>
      </c>
      <c r="BD46" t="s">
        <v>91</v>
      </c>
      <c r="BE46" t="s">
        <v>93</v>
      </c>
      <c r="BF46" t="s">
        <v>101</v>
      </c>
      <c r="BG46" t="s">
        <v>88</v>
      </c>
      <c r="BH46" t="s">
        <v>97</v>
      </c>
      <c r="BI46" t="s">
        <v>95</v>
      </c>
      <c r="BJ46" t="s">
        <v>96</v>
      </c>
      <c r="BK46" t="s">
        <v>91</v>
      </c>
      <c r="BL46" t="s">
        <v>93</v>
      </c>
      <c r="BM46" t="s">
        <v>88</v>
      </c>
      <c r="BN46" t="s">
        <v>96</v>
      </c>
      <c r="BO46" t="s">
        <v>93</v>
      </c>
      <c r="BP46" t="s">
        <v>96</v>
      </c>
      <c r="BQ46" t="s">
        <v>96</v>
      </c>
      <c r="BS46" t="s">
        <v>193</v>
      </c>
      <c r="BT46" t="s">
        <v>194</v>
      </c>
      <c r="BU46">
        <f>IF(C46='Resultats Reals'!$C$2,2,IF(OR(C46='Resultats Reals'!$C$3,COUNTIF('Resultats Reals'!$E$2:$E$33,C46)&gt;0),1,0))+IF(D46='Resultats Reals'!$C$5,2,IF(OR(D46='Resultats Reals'!$C$6,COUNTIF('Resultats Reals'!$E$2:$E$33,D46)&gt;0),1,0))+IF(E46='Resultats Reals'!$C$8,2,IF(OR(E46='Resultats Reals'!$C$9,COUNTIF('Resultats Reals'!$E$2:$E$33,E46)&gt;0),1,0))+IF(F46='Resultats Reals'!$C$11,2,IF(OR(F46='Resultats Reals'!$C$12,COUNTIF('Resultats Reals'!$E$2:$E$33,F46)&gt;0),1,0))+IF(G46='Resultats Reals'!$C$14,2,IF(OR(G46='Resultats Reals'!$C$15,COUNTIF('Resultats Reals'!$E$2:$E$33,G46)&gt;0),1,0))+IF(H46='Resultats Reals'!$C$17,2,IF(OR(H46='Resultats Reals'!$C$18,COUNTIF('Resultats Reals'!$E$2:$E$33,H46)&gt;0),1,0))+IF(I46='Resultats Reals'!$C$20,2,IF(OR(I46='Resultats Reals'!$C$21,COUNTIF('Resultats Reals'!$E$2:$E$33,I46)&gt;0),1,0))+IF(J46='Resultats Reals'!$C$23,2,IF(OR(J46='Resultats Reals'!$C$24,COUNTIF('Resultats Reals'!$E$2:$E$33,J46)&gt;0),1,0))+IF(K46='Resultats Reals'!$C$26,2,IF(OR(K46='Resultats Reals'!$C$27,COUNTIF('Resultats Reals'!$E$2:$E$33,K46)&gt;0),1,0))+IF(L46='Resultats Reals'!$C$29,2,IF(OR(L46='Resultats Reals'!$C$30,COUNTIF('Resultats Reals'!$E$2:$E$33,L46)&gt;0),1,0))+IF(M46='Resultats Reals'!$C$32,2,IF(OR(M46='Resultats Reals'!$C$33,COUNTIF('Resultats Reals'!$E$2:$E$33,M46)&gt;0),1,0))+IF(N46='Resultats Reals'!$C$35,2,IF(OR(N46='Resultats Reals'!$C$36,COUNTIF('Resultats Reals'!$E$2:$E$33,N46)&gt;0),1,0))</f>
        <v>20</v>
      </c>
      <c r="BV46">
        <f>IF(O46='Resultats Reals'!$C$3,2,IF(OR(O46='Resultats Reals'!$C$2,COUNTIF('Resultats Reals'!$E$2:$E$33,O46)&gt;0),1,0))+IF(P46='Resultats Reals'!$C$6,2,IF(OR(P46='Resultats Reals'!$C$5,COUNTIF('Resultats Reals'!$E$2:$E$33,P46)&gt;0),1,0))+IF(Q46='Resultats Reals'!$C$9,2,IF(OR(Q46='Resultats Reals'!$C$8,COUNTIF('Resultats Reals'!$E$2:$E$33,Q46)&gt;0),1,0))+IF(R46='Resultats Reals'!$C$12,2,IF(OR(R46='Resultats Reals'!$C$11,COUNTIF('Resultats Reals'!$E$2:$E$33,R46)&gt;0),1,0))+IF(S46='Resultats Reals'!$C$15,2,IF(OR(S46='Resultats Reals'!$C$14,COUNTIF('Resultats Reals'!$E$2:$E$33,S46)&gt;0),1,0))+IF(T46='Resultats Reals'!$C$18,2,IF(OR(T46='Resultats Reals'!$C$17,COUNTIF('Resultats Reals'!$E$2:$E$33,T46)&gt;0),1,0))+IF(U46='Resultats Reals'!$C$21,2,IF(OR(U46='Resultats Reals'!$C$20,COUNTIF('Resultats Reals'!$E$2:$E$33,U46)&gt;0),1,0))+IF(V46='Resultats Reals'!$C$24,2,IF(OR(V46='Resultats Reals'!$C$23,COUNTIF('Resultats Reals'!$E$2:$E$33,V46)&gt;0),1,0))+IF(W46='Resultats Reals'!$C$27,2,IF(OR(W46='Resultats Reals'!$C$26,COUNTIF('Resultats Reals'!$E$2:$E$33,W46)&gt;0),1,0))+IF(X46='Resultats Reals'!$C$30,2,IF(OR(X46='Resultats Reals'!$C$29,COUNTIF('Resultats Reals'!$E$2:$E$33,X46)&gt;0),1,0))+IF(Y46='Resultats Reals'!$C$33,2,IF(OR(Y46='Resultats Reals'!$C$32,COUNTIF('Resultats Reals'!$E$2:$E$33,Y46)&gt;0),1,0))+IF(Z46='Resultats Reals'!$C$36,2,IF(OR(Z46='Resultats Reals'!$C$35,COUNTIF('Resultats Reals'!$E$2:$E$33,Z46)&gt;0),1,0))</f>
        <v>15</v>
      </c>
      <c r="BW46">
        <f>IF(AA46='Resultats Reals'!$C$4,IF(COUNTIF('Resultats Reals'!$E$2:$E$33,AA46)&gt;0,2,0.5),IF(OR(AA46='Resultats Reals'!$C$2,AA46='Resultats Reals'!$C$3,COUNTIF('Resultats Reals'!$E$2:$E$33,AA46)&gt;0),1,0))+IF(AB46='Resultats Reals'!$C$7,IF(COUNTIF('Resultats Reals'!$E$2:$E$33,AB46)&gt;0,2,0.5),IF(OR(AB46='Resultats Reals'!$C$5,AB46='Resultats Reals'!$C$6,COUNTIF('Resultats Reals'!$E$2:$E$33,AB46)&gt;0),1,0))+IF(AC46='Resultats Reals'!$C$10,IF(COUNTIF('Resultats Reals'!$E$2:$E$33,AC46)&gt;0,2,0.5),IF(OR(AC46='Resultats Reals'!$C$8,AC46='Resultats Reals'!$C$9,COUNTIF('Resultats Reals'!$E$2:$E$33,AC46)&gt;0),1,0))+IF(AD46='Resultats Reals'!$C$13,IF(COUNTIF('Resultats Reals'!$E$2:$E$33,AD46)&gt;0,2,0.5),IF(OR(AD46='Resultats Reals'!$C$11,AD46='Resultats Reals'!$C$12,COUNTIF('Resultats Reals'!$E$2:$E$33,AD46)&gt;0),1,0))+IF(AE46='Resultats Reals'!$C$16,IF(COUNTIF('Resultats Reals'!$E$2:$E$33,AE46)&gt;0,2,0.5),IF(OR(AE46='Resultats Reals'!$C$14,AE46='Resultats Reals'!$C$15,COUNTIF('Resultats Reals'!$E$2:$E$33,AE46)&gt;0),1,0))+IF(AF46='Resultats Reals'!$C$19,IF(COUNTIF('Resultats Reals'!$E$2:$E$33,AF46)&gt;0,2,0.5),IF(OR(AF46='Resultats Reals'!$C$17,AF46='Resultats Reals'!$C$18,COUNTIF('Resultats Reals'!$E$2:$E$33,AF46)&gt;0),1,0))+IF(AG46='Resultats Reals'!$C$22,IF(COUNTIF('Resultats Reals'!$E$2:$E$33,AG46)&gt;0,2,0.5),IF(OR(AG46='Resultats Reals'!$C$20,AG46='Resultats Reals'!$C$21,COUNTIF('Resultats Reals'!$E$2:$E$33,AG46)&gt;0),1,0))+IF(AH46='Resultats Reals'!$C$25,IF(COUNTIF('Resultats Reals'!$E$2:$E$33,AH46)&gt;0,2,0.5),IF(OR(AH46='Resultats Reals'!$C$23,AH46='Resultats Reals'!$C$24,COUNTIF('Resultats Reals'!$E$2:$E$33,AH46)&gt;0),1,0))+IF(AI46='Resultats Reals'!$C$28,IF(COUNTIF('Resultats Reals'!$E$2:$E$33,AI46)&gt;0,2,0.5),IF(OR(AI46='Resultats Reals'!$C$26,AI46='Resultats Reals'!$C$27,COUNTIF('Resultats Reals'!$E$2:$E$33,AI46)&gt;0),1,0))+IF(AJ46='Resultats Reals'!$C$31,IF(COUNTIF('Resultats Reals'!$E$2:$E$33,AJ46)&gt;0,2,0.5),IF(OR(AJ46='Resultats Reals'!$C$29,AJ46='Resultats Reals'!$C$30,COUNTIF('Resultats Reals'!$E$2:$E$33,AJ46)&gt;0),1,0))+IF(AK46='Resultats Reals'!$C$34,IF(COUNTIF('Resultats Reals'!$E$2:$E$33,AK46)&gt;0,2,0.5),IF(OR(AK46='Resultats Reals'!$C$32,AK46='Resultats Reals'!$C$33,COUNTIF('Resultats Reals'!$E$2:$E$33,AK46)&gt;0),1,0))+IF(AL46='Resultats Reals'!$C$37,IF(COUNTIF('Resultats Reals'!$E$2:$E$33,AL46)&gt;0,2,0.5),IF(OR(AL46='Resultats Reals'!$C$35,AL46='Resultats Reals'!$C$36,COUNTIF('Resultats Reals'!$E$2:$E$33,AL46)&gt;0),1,0))</f>
        <v>13.5</v>
      </c>
      <c r="BX46">
        <f>IF(COUNTIF('Resultats Reals'!$F$2:$F$17,AM46)&gt;0,1,0)+IF(COUNTIF('Resultats Reals'!$F$2:$F$17,AN46)&gt;0,1,0)+IF(COUNTIF('Resultats Reals'!$F$2:$F$17,AO46)&gt;0,1,0)+IF(COUNTIF('Resultats Reals'!$F$2:$F$17,AP46)&gt;0,1,0)+IF(COUNTIF('Resultats Reals'!$F$2:$F$17,AQ46)&gt;0,1,0)+IF(COUNTIF('Resultats Reals'!$F$2:$F$17,AR46)&gt;0,1,0)+IF(COUNTIF('Resultats Reals'!$F$2:$F$17,AS46)&gt;0,1,0)+IF(COUNTIF('Resultats Reals'!$F$2:$F$17,AT46)&gt;0,1,0)+IF(COUNTIF('Resultats Reals'!$F$2:$F$17,AU46)&gt;0,1,0)+IF(COUNTIF('Resultats Reals'!$F$2:$F$17,AV46)&gt;0,1,0)+IF(COUNTIF('Resultats Reals'!$F$2:$F$17,AW46)&gt;0,1,0)+IF(COUNTIF('Resultats Reals'!$F$2:$F$17,AX46)&gt;0,1,0)+IF(COUNTIF('Resultats Reals'!$F$2:$F$17,AY46)&gt;0,1,0)+IF(COUNTIF('Resultats Reals'!$F$2:$F$17,AZ46)&gt;0,1,0)+IF(COUNTIF('Resultats Reals'!$F$2:$F$17,BA46)&gt;0,1,0)+IF(COUNTIF('Resultats Reals'!$F$2:$F$17,BB46)&gt;0,1,0)</f>
        <v>12</v>
      </c>
      <c r="BY46">
        <f>IF(COUNTIF('Resultats Reals'!$G$2:$G$9,BC46)&gt;0,1,0)+IF(COUNTIF('Resultats Reals'!$G$2:$G$9,BD46)&gt;0,1,0)+IF(COUNTIF('Resultats Reals'!$G$2:$G$9,BE46)&gt;0,1,0)+IF(COUNTIF('Resultats Reals'!$G$2:$G$9,BF46)&gt;0,1,0)+IF(COUNTIF('Resultats Reals'!$G$2:$G$9,BG46)&gt;0,1,0)+IF(COUNTIF('Resultats Reals'!$G$2:$G$9,BH46)&gt;0,1,0)+IF(COUNTIF('Resultats Reals'!$G$2:$G$9,BI46)&gt;0,1,0)+IF(COUNTIF('Resultats Reals'!$G$2:$G$9,BJ46)&gt;0,1,0)</f>
        <v>3</v>
      </c>
      <c r="BZ46">
        <f>IF(COUNTIF('Resultats Reals'!$H$2:$H$5,BK46)&gt;0,1,0)+IF(COUNTIF('Resultats Reals'!$H$2:$H$5,BL46)&gt;0,1,0)+IF(COUNTIF('Resultats Reals'!$H$2:$H$5,BM46)&gt;0,1,0)+IF(COUNTIF('Resultats Reals'!$H$2:$H$5,BN46)&gt;0,1,0)</f>
        <v>1</v>
      </c>
      <c r="CA46">
        <f>IF(COUNTIF('Resultats Reals'!$I$2:$I$3,BO46)&gt;0,3,0)+IF(COUNTIF('Resultats Reals'!$I$2:$I$3,BP46)&gt;0,3,0)</f>
        <v>0</v>
      </c>
      <c r="CB46">
        <f>IF(BQ46='Resultats Reals'!$J$2,5,0)</f>
        <v>0</v>
      </c>
      <c r="CC46">
        <f>IF(BS46='Resultats Reals'!$K$2,5,0)</f>
        <v>0</v>
      </c>
      <c r="CD46">
        <f>IFERROR(VLOOKUP(BT46,'Resultats Reals'!$N$2:$O$100,2,FALSE),0)</f>
        <v>0</v>
      </c>
      <c r="CE46">
        <f>IF(BR46='Resultats Reals'!$L$2,5,0)</f>
        <v>0</v>
      </c>
      <c r="CF46" s="7">
        <f t="shared" si="0"/>
        <v>64.5</v>
      </c>
    </row>
    <row r="47" spans="1:84" x14ac:dyDescent="0.25">
      <c r="A47" t="s">
        <v>197</v>
      </c>
      <c r="B47" t="s">
        <v>135</v>
      </c>
      <c r="C47" t="s">
        <v>98</v>
      </c>
      <c r="D47" t="s">
        <v>87</v>
      </c>
      <c r="E47" t="s">
        <v>88</v>
      </c>
      <c r="F47" t="s">
        <v>101</v>
      </c>
      <c r="G47" t="s">
        <v>90</v>
      </c>
      <c r="H47" t="s">
        <v>103</v>
      </c>
      <c r="I47" t="s">
        <v>104</v>
      </c>
      <c r="J47" t="s">
        <v>93</v>
      </c>
      <c r="K47" t="s">
        <v>117</v>
      </c>
      <c r="L47" t="s">
        <v>95</v>
      </c>
      <c r="M47" t="s">
        <v>108</v>
      </c>
      <c r="N47" t="s">
        <v>97</v>
      </c>
      <c r="O47" t="s">
        <v>86</v>
      </c>
      <c r="P47" t="s">
        <v>245</v>
      </c>
      <c r="Q47" t="s">
        <v>100</v>
      </c>
      <c r="R47" t="s">
        <v>112</v>
      </c>
      <c r="S47" t="s">
        <v>102</v>
      </c>
      <c r="T47" t="s">
        <v>91</v>
      </c>
      <c r="U47" t="s">
        <v>92</v>
      </c>
      <c r="V47" t="s">
        <v>105</v>
      </c>
      <c r="W47" t="s">
        <v>94</v>
      </c>
      <c r="X47" t="s">
        <v>107</v>
      </c>
      <c r="Y47" t="s">
        <v>96</v>
      </c>
      <c r="Z47" t="s">
        <v>109</v>
      </c>
      <c r="AA47" t="s">
        <v>110</v>
      </c>
      <c r="AB47" t="s">
        <v>99</v>
      </c>
      <c r="AC47" t="s">
        <v>111</v>
      </c>
      <c r="AD47" t="s">
        <v>198</v>
      </c>
      <c r="AE47" t="s">
        <v>113</v>
      </c>
      <c r="AF47" t="s">
        <v>114</v>
      </c>
      <c r="AG47" t="s">
        <v>115</v>
      </c>
      <c r="AH47" t="s">
        <v>116</v>
      </c>
      <c r="AI47" t="s">
        <v>106</v>
      </c>
      <c r="AJ47" t="s">
        <v>118</v>
      </c>
      <c r="AK47" t="s">
        <v>127</v>
      </c>
      <c r="AL47" t="s">
        <v>120</v>
      </c>
      <c r="AM47" t="s">
        <v>90</v>
      </c>
      <c r="AN47" t="s">
        <v>117</v>
      </c>
      <c r="AO47" t="s">
        <v>245</v>
      </c>
      <c r="AP47" t="s">
        <v>100</v>
      </c>
      <c r="AQ47" t="s">
        <v>96</v>
      </c>
      <c r="AR47" t="s">
        <v>93</v>
      </c>
      <c r="AS47" t="s">
        <v>111</v>
      </c>
      <c r="AT47" t="s">
        <v>104</v>
      </c>
      <c r="AU47" t="s">
        <v>88</v>
      </c>
      <c r="AV47" t="s">
        <v>94</v>
      </c>
      <c r="AW47" t="s">
        <v>98</v>
      </c>
      <c r="AX47" t="s">
        <v>97</v>
      </c>
      <c r="AY47" t="s">
        <v>95</v>
      </c>
      <c r="AZ47" t="s">
        <v>92</v>
      </c>
      <c r="BA47" t="s">
        <v>114</v>
      </c>
      <c r="BB47" t="s">
        <v>108</v>
      </c>
      <c r="BC47" t="s">
        <v>117</v>
      </c>
      <c r="BD47" t="s">
        <v>100</v>
      </c>
      <c r="BE47" t="s">
        <v>93</v>
      </c>
      <c r="BF47" t="s">
        <v>104</v>
      </c>
      <c r="BG47" t="s">
        <v>94</v>
      </c>
      <c r="BH47" t="s">
        <v>97</v>
      </c>
      <c r="BI47" t="s">
        <v>95</v>
      </c>
      <c r="BJ47" t="s">
        <v>108</v>
      </c>
      <c r="BK47" t="s">
        <v>117</v>
      </c>
      <c r="BL47" t="s">
        <v>93</v>
      </c>
      <c r="BM47" t="s">
        <v>97</v>
      </c>
      <c r="BN47" t="s">
        <v>95</v>
      </c>
      <c r="BO47" t="s">
        <v>93</v>
      </c>
      <c r="BP47" t="s">
        <v>95</v>
      </c>
      <c r="BQ47" t="s">
        <v>93</v>
      </c>
      <c r="BR47" s="6" t="s">
        <v>199</v>
      </c>
      <c r="BS47" t="s">
        <v>150</v>
      </c>
      <c r="BT47" t="s">
        <v>200</v>
      </c>
      <c r="BU47">
        <f>IF(C47='Resultats Reals'!$C$2,2,IF(OR(C47='Resultats Reals'!$C$3,COUNTIF('Resultats Reals'!$E$2:$E$33,C47)&gt;0),1,0))+IF(D47='Resultats Reals'!$C$5,2,IF(OR(D47='Resultats Reals'!$C$6,COUNTIF('Resultats Reals'!$E$2:$E$33,D47)&gt;0),1,0))+IF(E47='Resultats Reals'!$C$8,2,IF(OR(E47='Resultats Reals'!$C$9,COUNTIF('Resultats Reals'!$E$2:$E$33,E47)&gt;0),1,0))+IF(F47='Resultats Reals'!$C$11,2,IF(OR(F47='Resultats Reals'!$C$12,COUNTIF('Resultats Reals'!$E$2:$E$33,F47)&gt;0),1,0))+IF(G47='Resultats Reals'!$C$14,2,IF(OR(G47='Resultats Reals'!$C$15,COUNTIF('Resultats Reals'!$E$2:$E$33,G47)&gt;0),1,0))+IF(H47='Resultats Reals'!$C$17,2,IF(OR(H47='Resultats Reals'!$C$18,COUNTIF('Resultats Reals'!$E$2:$E$33,H47)&gt;0),1,0))+IF(I47='Resultats Reals'!$C$20,2,IF(OR(I47='Resultats Reals'!$C$21,COUNTIF('Resultats Reals'!$E$2:$E$33,I47)&gt;0),1,0))+IF(J47='Resultats Reals'!$C$23,2,IF(OR(J47='Resultats Reals'!$C$24,COUNTIF('Resultats Reals'!$E$2:$E$33,J47)&gt;0),1,0))+IF(K47='Resultats Reals'!$C$26,2,IF(OR(K47='Resultats Reals'!$C$27,COUNTIF('Resultats Reals'!$E$2:$E$33,K47)&gt;0),1,0))+IF(L47='Resultats Reals'!$C$29,2,IF(OR(L47='Resultats Reals'!$C$30,COUNTIF('Resultats Reals'!$E$2:$E$33,L47)&gt;0),1,0))+IF(M47='Resultats Reals'!$C$32,2,IF(OR(M47='Resultats Reals'!$C$33,COUNTIF('Resultats Reals'!$E$2:$E$33,M47)&gt;0),1,0))+IF(N47='Resultats Reals'!$C$35,2,IF(OR(N47='Resultats Reals'!$C$36,COUNTIF('Resultats Reals'!$E$2:$E$33,N47)&gt;0),1,0))</f>
        <v>17</v>
      </c>
      <c r="BV47">
        <f>IF(O47='Resultats Reals'!$C$3,2,IF(OR(O47='Resultats Reals'!$C$2,COUNTIF('Resultats Reals'!$E$2:$E$33,O47)&gt;0),1,0))+IF(P47='Resultats Reals'!$C$6,2,IF(OR(P47='Resultats Reals'!$C$5,COUNTIF('Resultats Reals'!$E$2:$E$33,P47)&gt;0),1,0))+IF(Q47='Resultats Reals'!$C$9,2,IF(OR(Q47='Resultats Reals'!$C$8,COUNTIF('Resultats Reals'!$E$2:$E$33,Q47)&gt;0),1,0))+IF(R47='Resultats Reals'!$C$12,2,IF(OR(R47='Resultats Reals'!$C$11,COUNTIF('Resultats Reals'!$E$2:$E$33,R47)&gt;0),1,0))+IF(S47='Resultats Reals'!$C$15,2,IF(OR(S47='Resultats Reals'!$C$14,COUNTIF('Resultats Reals'!$E$2:$E$33,S47)&gt;0),1,0))+IF(T47='Resultats Reals'!$C$18,2,IF(OR(T47='Resultats Reals'!$C$17,COUNTIF('Resultats Reals'!$E$2:$E$33,T47)&gt;0),1,0))+IF(U47='Resultats Reals'!$C$21,2,IF(OR(U47='Resultats Reals'!$C$20,COUNTIF('Resultats Reals'!$E$2:$E$33,U47)&gt;0),1,0))+IF(V47='Resultats Reals'!$C$24,2,IF(OR(V47='Resultats Reals'!$C$23,COUNTIF('Resultats Reals'!$E$2:$E$33,V47)&gt;0),1,0))+IF(W47='Resultats Reals'!$C$27,2,IF(OR(W47='Resultats Reals'!$C$26,COUNTIF('Resultats Reals'!$E$2:$E$33,W47)&gt;0),1,0))+IF(X47='Resultats Reals'!$C$30,2,IF(OR(X47='Resultats Reals'!$C$29,COUNTIF('Resultats Reals'!$E$2:$E$33,X47)&gt;0),1,0))+IF(Y47='Resultats Reals'!$C$33,2,IF(OR(Y47='Resultats Reals'!$C$32,COUNTIF('Resultats Reals'!$E$2:$E$33,Y47)&gt;0),1,0))+IF(Z47='Resultats Reals'!$C$36,2,IF(OR(Z47='Resultats Reals'!$C$35,COUNTIF('Resultats Reals'!$E$2:$E$33,Z47)&gt;0),1,0))</f>
        <v>15</v>
      </c>
      <c r="BW47">
        <f>IF(AA47='Resultats Reals'!$C$4,IF(COUNTIF('Resultats Reals'!$E$2:$E$33,AA47)&gt;0,2,0.5),IF(OR(AA47='Resultats Reals'!$C$2,AA47='Resultats Reals'!$C$3,COUNTIF('Resultats Reals'!$E$2:$E$33,AA47)&gt;0),1,0))+IF(AB47='Resultats Reals'!$C$7,IF(COUNTIF('Resultats Reals'!$E$2:$E$33,AB47)&gt;0,2,0.5),IF(OR(AB47='Resultats Reals'!$C$5,AB47='Resultats Reals'!$C$6,COUNTIF('Resultats Reals'!$E$2:$E$33,AB47)&gt;0),1,0))+IF(AC47='Resultats Reals'!$C$10,IF(COUNTIF('Resultats Reals'!$E$2:$E$33,AC47)&gt;0,2,0.5),IF(OR(AC47='Resultats Reals'!$C$8,AC47='Resultats Reals'!$C$9,COUNTIF('Resultats Reals'!$E$2:$E$33,AC47)&gt;0),1,0))+IF(AD47='Resultats Reals'!$C$13,IF(COUNTIF('Resultats Reals'!$E$2:$E$33,AD47)&gt;0,2,0.5),IF(OR(AD47='Resultats Reals'!$C$11,AD47='Resultats Reals'!$C$12,COUNTIF('Resultats Reals'!$E$2:$E$33,AD47)&gt;0),1,0))+IF(AE47='Resultats Reals'!$C$16,IF(COUNTIF('Resultats Reals'!$E$2:$E$33,AE47)&gt;0,2,0.5),IF(OR(AE47='Resultats Reals'!$C$14,AE47='Resultats Reals'!$C$15,COUNTIF('Resultats Reals'!$E$2:$E$33,AE47)&gt;0),1,0))+IF(AF47='Resultats Reals'!$C$19,IF(COUNTIF('Resultats Reals'!$E$2:$E$33,AF47)&gt;0,2,0.5),IF(OR(AF47='Resultats Reals'!$C$17,AF47='Resultats Reals'!$C$18,COUNTIF('Resultats Reals'!$E$2:$E$33,AF47)&gt;0),1,0))+IF(AG47='Resultats Reals'!$C$22,IF(COUNTIF('Resultats Reals'!$E$2:$E$33,AG47)&gt;0,2,0.5),IF(OR(AG47='Resultats Reals'!$C$20,AG47='Resultats Reals'!$C$21,COUNTIF('Resultats Reals'!$E$2:$E$33,AG47)&gt;0),1,0))+IF(AH47='Resultats Reals'!$C$25,IF(COUNTIF('Resultats Reals'!$E$2:$E$33,AH47)&gt;0,2,0.5),IF(OR(AH47='Resultats Reals'!$C$23,AH47='Resultats Reals'!$C$24,COUNTIF('Resultats Reals'!$E$2:$E$33,AH47)&gt;0),1,0))+IF(AI47='Resultats Reals'!$C$28,IF(COUNTIF('Resultats Reals'!$E$2:$E$33,AI47)&gt;0,2,0.5),IF(OR(AI47='Resultats Reals'!$C$26,AI47='Resultats Reals'!$C$27,COUNTIF('Resultats Reals'!$E$2:$E$33,AI47)&gt;0),1,0))+IF(AJ47='Resultats Reals'!$C$31,IF(COUNTIF('Resultats Reals'!$E$2:$E$33,AJ47)&gt;0,2,0.5),IF(OR(AJ47='Resultats Reals'!$C$29,AJ47='Resultats Reals'!$C$30,COUNTIF('Resultats Reals'!$E$2:$E$33,AJ47)&gt;0),1,0))+IF(AK47='Resultats Reals'!$C$34,IF(COUNTIF('Resultats Reals'!$E$2:$E$33,AK47)&gt;0,2,0.5),IF(OR(AK47='Resultats Reals'!$C$32,AK47='Resultats Reals'!$C$33,COUNTIF('Resultats Reals'!$E$2:$E$33,AK47)&gt;0),1,0))+IF(AL47='Resultats Reals'!$C$37,IF(COUNTIF('Resultats Reals'!$E$2:$E$33,AL47)&gt;0,2,0.5),IF(OR(AL47='Resultats Reals'!$C$35,AL47='Resultats Reals'!$C$36,COUNTIF('Resultats Reals'!$E$2:$E$33,AL47)&gt;0),1,0))</f>
        <v>12</v>
      </c>
      <c r="BX47">
        <f>IF(COUNTIF('Resultats Reals'!$F$2:$F$17,AM47)&gt;0,1,0)+IF(COUNTIF('Resultats Reals'!$F$2:$F$17,AN47)&gt;0,1,0)+IF(COUNTIF('Resultats Reals'!$F$2:$F$17,AO47)&gt;0,1,0)+IF(COUNTIF('Resultats Reals'!$F$2:$F$17,AP47)&gt;0,1,0)+IF(COUNTIF('Resultats Reals'!$F$2:$F$17,AQ47)&gt;0,1,0)+IF(COUNTIF('Resultats Reals'!$F$2:$F$17,AR47)&gt;0,1,0)+IF(COUNTIF('Resultats Reals'!$F$2:$F$17,AS47)&gt;0,1,0)+IF(COUNTIF('Resultats Reals'!$F$2:$F$17,AT47)&gt;0,1,0)+IF(COUNTIF('Resultats Reals'!$F$2:$F$17,AU47)&gt;0,1,0)+IF(COUNTIF('Resultats Reals'!$F$2:$F$17,AV47)&gt;0,1,0)+IF(COUNTIF('Resultats Reals'!$F$2:$F$17,AW47)&gt;0,1,0)+IF(COUNTIF('Resultats Reals'!$F$2:$F$17,AX47)&gt;0,1,0)+IF(COUNTIF('Resultats Reals'!$F$2:$F$17,AY47)&gt;0,1,0)+IF(COUNTIF('Resultats Reals'!$F$2:$F$17,AZ47)&gt;0,1,0)+IF(COUNTIF('Resultats Reals'!$F$2:$F$17,BA47)&gt;0,1,0)+IF(COUNTIF('Resultats Reals'!$F$2:$F$17,BB47)&gt;0,1,0)</f>
        <v>11</v>
      </c>
      <c r="BY47">
        <f>IF(COUNTIF('Resultats Reals'!$G$2:$G$9,BC47)&gt;0,1,0)+IF(COUNTIF('Resultats Reals'!$G$2:$G$9,BD47)&gt;0,1,0)+IF(COUNTIF('Resultats Reals'!$G$2:$G$9,BE47)&gt;0,1,0)+IF(COUNTIF('Resultats Reals'!$G$2:$G$9,BF47)&gt;0,1,0)+IF(COUNTIF('Resultats Reals'!$G$2:$G$9,BG47)&gt;0,1,0)+IF(COUNTIF('Resultats Reals'!$G$2:$G$9,BH47)&gt;0,1,0)+IF(COUNTIF('Resultats Reals'!$G$2:$G$9,BI47)&gt;0,1,0)+IF(COUNTIF('Resultats Reals'!$G$2:$G$9,BJ47)&gt;0,1,0)</f>
        <v>6</v>
      </c>
      <c r="BZ47">
        <f>IF(COUNTIF('Resultats Reals'!$H$2:$H$5,BK47)&gt;0,1,0)+IF(COUNTIF('Resultats Reals'!$H$2:$H$5,BL47)&gt;0,1,0)+IF(COUNTIF('Resultats Reals'!$H$2:$H$5,BM47)&gt;0,1,0)+IF(COUNTIF('Resultats Reals'!$H$2:$H$5,BN47)&gt;0,1,0)</f>
        <v>3</v>
      </c>
      <c r="CA47">
        <f>IF(COUNTIF('Resultats Reals'!$I$2:$I$3,BO47)&gt;0,3,0)+IF(COUNTIF('Resultats Reals'!$I$2:$I$3,BP47)&gt;0,3,0)</f>
        <v>0</v>
      </c>
      <c r="CB47">
        <f>IF(BQ47='Resultats Reals'!$J$2,5,0)</f>
        <v>0</v>
      </c>
      <c r="CC47">
        <f>IF(BS47='Resultats Reals'!$K$2,5,0)</f>
        <v>0</v>
      </c>
      <c r="CD47">
        <f>IFERROR(VLOOKUP(BT47,'Resultats Reals'!$N$2:$O$100,2,FALSE),0)</f>
        <v>0</v>
      </c>
      <c r="CE47">
        <f>IF(BR47='Resultats Reals'!$L$2,5,0)</f>
        <v>0</v>
      </c>
      <c r="CF47" s="7">
        <f t="shared" si="0"/>
        <v>64</v>
      </c>
    </row>
    <row r="48" spans="1:84" x14ac:dyDescent="0.25">
      <c r="A48" t="s">
        <v>212</v>
      </c>
      <c r="B48" t="s">
        <v>135</v>
      </c>
      <c r="C48" t="s">
        <v>130</v>
      </c>
      <c r="D48" t="s">
        <v>245</v>
      </c>
      <c r="E48" t="s">
        <v>88</v>
      </c>
      <c r="F48" t="s">
        <v>89</v>
      </c>
      <c r="G48" t="s">
        <v>90</v>
      </c>
      <c r="H48" t="s">
        <v>91</v>
      </c>
      <c r="I48" t="s">
        <v>92</v>
      </c>
      <c r="J48" t="s">
        <v>93</v>
      </c>
      <c r="K48" t="s">
        <v>94</v>
      </c>
      <c r="L48" t="s">
        <v>95</v>
      </c>
      <c r="M48" t="s">
        <v>96</v>
      </c>
      <c r="N48" t="s">
        <v>97</v>
      </c>
      <c r="O48" t="s">
        <v>86</v>
      </c>
      <c r="P48" t="s">
        <v>99</v>
      </c>
      <c r="Q48" t="s">
        <v>100</v>
      </c>
      <c r="R48" t="s">
        <v>112</v>
      </c>
      <c r="S48" t="s">
        <v>102</v>
      </c>
      <c r="T48" t="s">
        <v>131</v>
      </c>
      <c r="U48" t="s">
        <v>115</v>
      </c>
      <c r="V48" t="s">
        <v>105</v>
      </c>
      <c r="W48" t="s">
        <v>106</v>
      </c>
      <c r="X48" t="s">
        <v>118</v>
      </c>
      <c r="Y48" t="s">
        <v>108</v>
      </c>
      <c r="Z48" t="s">
        <v>109</v>
      </c>
      <c r="AA48" t="s">
        <v>110</v>
      </c>
      <c r="AB48" t="s">
        <v>87</v>
      </c>
      <c r="AC48" t="s">
        <v>111</v>
      </c>
      <c r="AD48" t="s">
        <v>101</v>
      </c>
      <c r="AE48" t="s">
        <v>113</v>
      </c>
      <c r="AF48" t="s">
        <v>103</v>
      </c>
      <c r="AG48" t="s">
        <v>104</v>
      </c>
      <c r="AH48" t="s">
        <v>116</v>
      </c>
      <c r="AI48" t="s">
        <v>117</v>
      </c>
      <c r="AJ48" t="s">
        <v>107</v>
      </c>
      <c r="AK48" t="s">
        <v>119</v>
      </c>
      <c r="AL48" t="s">
        <v>120</v>
      </c>
      <c r="AM48" t="s">
        <v>90</v>
      </c>
      <c r="AN48" t="s">
        <v>94</v>
      </c>
      <c r="AO48" t="s">
        <v>86</v>
      </c>
      <c r="AP48" t="s">
        <v>91</v>
      </c>
      <c r="AQ48" t="s">
        <v>109</v>
      </c>
      <c r="AR48" t="s">
        <v>93</v>
      </c>
      <c r="AS48" t="s">
        <v>89</v>
      </c>
      <c r="AT48" t="s">
        <v>92</v>
      </c>
      <c r="AU48" t="s">
        <v>88</v>
      </c>
      <c r="AV48" t="s">
        <v>106</v>
      </c>
      <c r="AW48" t="s">
        <v>130</v>
      </c>
      <c r="AX48" t="s">
        <v>97</v>
      </c>
      <c r="AY48" t="s">
        <v>105</v>
      </c>
      <c r="AZ48" t="s">
        <v>112</v>
      </c>
      <c r="BA48" t="s">
        <v>111</v>
      </c>
      <c r="BB48" t="s">
        <v>96</v>
      </c>
      <c r="BC48" t="s">
        <v>90</v>
      </c>
      <c r="BD48" t="s">
        <v>91</v>
      </c>
      <c r="BE48" t="s">
        <v>93</v>
      </c>
      <c r="BF48" t="s">
        <v>92</v>
      </c>
      <c r="BG48" t="s">
        <v>88</v>
      </c>
      <c r="BH48" t="s">
        <v>97</v>
      </c>
      <c r="BI48" t="s">
        <v>105</v>
      </c>
      <c r="BJ48" t="s">
        <v>96</v>
      </c>
      <c r="BK48" t="s">
        <v>91</v>
      </c>
      <c r="BL48" t="s">
        <v>93</v>
      </c>
      <c r="BM48" t="s">
        <v>97</v>
      </c>
      <c r="BN48" t="s">
        <v>96</v>
      </c>
      <c r="BO48" t="s">
        <v>93</v>
      </c>
      <c r="BP48" t="s">
        <v>97</v>
      </c>
      <c r="BQ48" t="s">
        <v>93</v>
      </c>
      <c r="BS48" t="s">
        <v>157</v>
      </c>
      <c r="BT48" t="s">
        <v>121</v>
      </c>
      <c r="BU48">
        <f>IF(C48='Resultats Reals'!$C$2,2,IF(OR(C48='Resultats Reals'!$C$3,COUNTIF('Resultats Reals'!$E$2:$E$33,C48)&gt;0),1,0))+IF(D48='Resultats Reals'!$C$5,2,IF(OR(D48='Resultats Reals'!$C$6,COUNTIF('Resultats Reals'!$E$2:$E$33,D48)&gt;0),1,0))+IF(E48='Resultats Reals'!$C$8,2,IF(OR(E48='Resultats Reals'!$C$9,COUNTIF('Resultats Reals'!$E$2:$E$33,E48)&gt;0),1,0))+IF(F48='Resultats Reals'!$C$11,2,IF(OR(F48='Resultats Reals'!$C$12,COUNTIF('Resultats Reals'!$E$2:$E$33,F48)&gt;0),1,0))+IF(G48='Resultats Reals'!$C$14,2,IF(OR(G48='Resultats Reals'!$C$15,COUNTIF('Resultats Reals'!$E$2:$E$33,G48)&gt;0),1,0))+IF(H48='Resultats Reals'!$C$17,2,IF(OR(H48='Resultats Reals'!$C$18,COUNTIF('Resultats Reals'!$E$2:$E$33,H48)&gt;0),1,0))+IF(I48='Resultats Reals'!$C$20,2,IF(OR(I48='Resultats Reals'!$C$21,COUNTIF('Resultats Reals'!$E$2:$E$33,I48)&gt;0),1,0))+IF(J48='Resultats Reals'!$C$23,2,IF(OR(J48='Resultats Reals'!$C$24,COUNTIF('Resultats Reals'!$E$2:$E$33,J48)&gt;0),1,0))+IF(K48='Resultats Reals'!$C$26,2,IF(OR(K48='Resultats Reals'!$C$27,COUNTIF('Resultats Reals'!$E$2:$E$33,K48)&gt;0),1,0))+IF(L48='Resultats Reals'!$C$29,2,IF(OR(L48='Resultats Reals'!$C$30,COUNTIF('Resultats Reals'!$E$2:$E$33,L48)&gt;0),1,0))+IF(M48='Resultats Reals'!$C$32,2,IF(OR(M48='Resultats Reals'!$C$33,COUNTIF('Resultats Reals'!$E$2:$E$33,M48)&gt;0),1,0))+IF(N48='Resultats Reals'!$C$35,2,IF(OR(N48='Resultats Reals'!$C$36,COUNTIF('Resultats Reals'!$E$2:$E$33,N48)&gt;0),1,0))</f>
        <v>21</v>
      </c>
      <c r="BV48">
        <f>IF(O48='Resultats Reals'!$C$3,2,IF(OR(O48='Resultats Reals'!$C$2,COUNTIF('Resultats Reals'!$E$2:$E$33,O48)&gt;0),1,0))+IF(P48='Resultats Reals'!$C$6,2,IF(OR(P48='Resultats Reals'!$C$5,COUNTIF('Resultats Reals'!$E$2:$E$33,P48)&gt;0),1,0))+IF(Q48='Resultats Reals'!$C$9,2,IF(OR(Q48='Resultats Reals'!$C$8,COUNTIF('Resultats Reals'!$E$2:$E$33,Q48)&gt;0),1,0))+IF(R48='Resultats Reals'!$C$12,2,IF(OR(R48='Resultats Reals'!$C$11,COUNTIF('Resultats Reals'!$E$2:$E$33,R48)&gt;0),1,0))+IF(S48='Resultats Reals'!$C$15,2,IF(OR(S48='Resultats Reals'!$C$14,COUNTIF('Resultats Reals'!$E$2:$E$33,S48)&gt;0),1,0))+IF(T48='Resultats Reals'!$C$18,2,IF(OR(T48='Resultats Reals'!$C$17,COUNTIF('Resultats Reals'!$E$2:$E$33,T48)&gt;0),1,0))+IF(U48='Resultats Reals'!$C$21,2,IF(OR(U48='Resultats Reals'!$C$20,COUNTIF('Resultats Reals'!$E$2:$E$33,U48)&gt;0),1,0))+IF(V48='Resultats Reals'!$C$24,2,IF(OR(V48='Resultats Reals'!$C$23,COUNTIF('Resultats Reals'!$E$2:$E$33,V48)&gt;0),1,0))+IF(W48='Resultats Reals'!$C$27,2,IF(OR(W48='Resultats Reals'!$C$26,COUNTIF('Resultats Reals'!$E$2:$E$33,W48)&gt;0),1,0))+IF(X48='Resultats Reals'!$C$30,2,IF(OR(X48='Resultats Reals'!$C$29,COUNTIF('Resultats Reals'!$E$2:$E$33,X48)&gt;0),1,0))+IF(Y48='Resultats Reals'!$C$33,2,IF(OR(Y48='Resultats Reals'!$C$32,COUNTIF('Resultats Reals'!$E$2:$E$33,Y48)&gt;0),1,0))+IF(Z48='Resultats Reals'!$C$36,2,IF(OR(Z48='Resultats Reals'!$C$35,COUNTIF('Resultats Reals'!$E$2:$E$33,Z48)&gt;0),1,0))</f>
        <v>12</v>
      </c>
      <c r="BW48">
        <f>IF(AA48='Resultats Reals'!$C$4,IF(COUNTIF('Resultats Reals'!$E$2:$E$33,AA48)&gt;0,2,0.5),IF(OR(AA48='Resultats Reals'!$C$2,AA48='Resultats Reals'!$C$3,COUNTIF('Resultats Reals'!$E$2:$E$33,AA48)&gt;0),1,0))+IF(AB48='Resultats Reals'!$C$7,IF(COUNTIF('Resultats Reals'!$E$2:$E$33,AB48)&gt;0,2,0.5),IF(OR(AB48='Resultats Reals'!$C$5,AB48='Resultats Reals'!$C$6,COUNTIF('Resultats Reals'!$E$2:$E$33,AB48)&gt;0),1,0))+IF(AC48='Resultats Reals'!$C$10,IF(COUNTIF('Resultats Reals'!$E$2:$E$33,AC48)&gt;0,2,0.5),IF(OR(AC48='Resultats Reals'!$C$8,AC48='Resultats Reals'!$C$9,COUNTIF('Resultats Reals'!$E$2:$E$33,AC48)&gt;0),1,0))+IF(AD48='Resultats Reals'!$C$13,IF(COUNTIF('Resultats Reals'!$E$2:$E$33,AD48)&gt;0,2,0.5),IF(OR(AD48='Resultats Reals'!$C$11,AD48='Resultats Reals'!$C$12,COUNTIF('Resultats Reals'!$E$2:$E$33,AD48)&gt;0),1,0))+IF(AE48='Resultats Reals'!$C$16,IF(COUNTIF('Resultats Reals'!$E$2:$E$33,AE48)&gt;0,2,0.5),IF(OR(AE48='Resultats Reals'!$C$14,AE48='Resultats Reals'!$C$15,COUNTIF('Resultats Reals'!$E$2:$E$33,AE48)&gt;0),1,0))+IF(AF48='Resultats Reals'!$C$19,IF(COUNTIF('Resultats Reals'!$E$2:$E$33,AF48)&gt;0,2,0.5),IF(OR(AF48='Resultats Reals'!$C$17,AF48='Resultats Reals'!$C$18,COUNTIF('Resultats Reals'!$E$2:$E$33,AF48)&gt;0),1,0))+IF(AG48='Resultats Reals'!$C$22,IF(COUNTIF('Resultats Reals'!$E$2:$E$33,AG48)&gt;0,2,0.5),IF(OR(AG48='Resultats Reals'!$C$20,AG48='Resultats Reals'!$C$21,COUNTIF('Resultats Reals'!$E$2:$E$33,AG48)&gt;0),1,0))+IF(AH48='Resultats Reals'!$C$25,IF(COUNTIF('Resultats Reals'!$E$2:$E$33,AH48)&gt;0,2,0.5),IF(OR(AH48='Resultats Reals'!$C$23,AH48='Resultats Reals'!$C$24,COUNTIF('Resultats Reals'!$E$2:$E$33,AH48)&gt;0),1,0))+IF(AI48='Resultats Reals'!$C$28,IF(COUNTIF('Resultats Reals'!$E$2:$E$33,AI48)&gt;0,2,0.5),IF(OR(AI48='Resultats Reals'!$C$26,AI48='Resultats Reals'!$C$27,COUNTIF('Resultats Reals'!$E$2:$E$33,AI48)&gt;0),1,0))+IF(AJ48='Resultats Reals'!$C$31,IF(COUNTIF('Resultats Reals'!$E$2:$E$33,AJ48)&gt;0,2,0.5),IF(OR(AJ48='Resultats Reals'!$C$29,AJ48='Resultats Reals'!$C$30,COUNTIF('Resultats Reals'!$E$2:$E$33,AJ48)&gt;0),1,0))+IF(AK48='Resultats Reals'!$C$34,IF(COUNTIF('Resultats Reals'!$E$2:$E$33,AK48)&gt;0,2,0.5),IF(OR(AK48='Resultats Reals'!$C$32,AK48='Resultats Reals'!$C$33,COUNTIF('Resultats Reals'!$E$2:$E$33,AK48)&gt;0),1,0))+IF(AL48='Resultats Reals'!$C$37,IF(COUNTIF('Resultats Reals'!$E$2:$E$33,AL48)&gt;0,2,0.5),IF(OR(AL48='Resultats Reals'!$C$35,AL48='Resultats Reals'!$C$36,COUNTIF('Resultats Reals'!$E$2:$E$33,AL48)&gt;0),1,0))</f>
        <v>9.5</v>
      </c>
      <c r="BX48">
        <f>IF(COUNTIF('Resultats Reals'!$F$2:$F$17,AM48)&gt;0,1,0)+IF(COUNTIF('Resultats Reals'!$F$2:$F$17,AN48)&gt;0,1,0)+IF(COUNTIF('Resultats Reals'!$F$2:$F$17,AO48)&gt;0,1,0)+IF(COUNTIF('Resultats Reals'!$F$2:$F$17,AP48)&gt;0,1,0)+IF(COUNTIF('Resultats Reals'!$F$2:$F$17,AQ48)&gt;0,1,0)+IF(COUNTIF('Resultats Reals'!$F$2:$F$17,AR48)&gt;0,1,0)+IF(COUNTIF('Resultats Reals'!$F$2:$F$17,AS48)&gt;0,1,0)+IF(COUNTIF('Resultats Reals'!$F$2:$F$17,AT48)&gt;0,1,0)+IF(COUNTIF('Resultats Reals'!$F$2:$F$17,AU48)&gt;0,1,0)+IF(COUNTIF('Resultats Reals'!$F$2:$F$17,AV48)&gt;0,1,0)+IF(COUNTIF('Resultats Reals'!$F$2:$F$17,AW48)&gt;0,1,0)+IF(COUNTIF('Resultats Reals'!$F$2:$F$17,AX48)&gt;0,1,0)+IF(COUNTIF('Resultats Reals'!$F$2:$F$17,AY48)&gt;0,1,0)+IF(COUNTIF('Resultats Reals'!$F$2:$F$17,AZ48)&gt;0,1,0)+IF(COUNTIF('Resultats Reals'!$F$2:$F$17,BA48)&gt;0,1,0)+IF(COUNTIF('Resultats Reals'!$F$2:$F$17,BB48)&gt;0,1,0)</f>
        <v>9</v>
      </c>
      <c r="BY48">
        <f>IF(COUNTIF('Resultats Reals'!$G$2:$G$9,BC48)&gt;0,1,0)+IF(COUNTIF('Resultats Reals'!$G$2:$G$9,BD48)&gt;0,1,0)+IF(COUNTIF('Resultats Reals'!$G$2:$G$9,BE48)&gt;0,1,0)+IF(COUNTIF('Resultats Reals'!$G$2:$G$9,BF48)&gt;0,1,0)+IF(COUNTIF('Resultats Reals'!$G$2:$G$9,BG48)&gt;0,1,0)+IF(COUNTIF('Resultats Reals'!$G$2:$G$9,BH48)&gt;0,1,0)+IF(COUNTIF('Resultats Reals'!$G$2:$G$9,BI48)&gt;0,1,0)+IF(COUNTIF('Resultats Reals'!$G$2:$G$9,BJ48)&gt;0,1,0)</f>
        <v>3</v>
      </c>
      <c r="BZ48">
        <f>IF(COUNTIF('Resultats Reals'!$H$2:$H$5,BK48)&gt;0,1,0)+IF(COUNTIF('Resultats Reals'!$H$2:$H$5,BL48)&gt;0,1,0)+IF(COUNTIF('Resultats Reals'!$H$2:$H$5,BM48)&gt;0,1,0)+IF(COUNTIF('Resultats Reals'!$H$2:$H$5,BN48)&gt;0,1,0)</f>
        <v>2</v>
      </c>
      <c r="CA48">
        <f>IF(COUNTIF('Resultats Reals'!$I$2:$I$3,BO48)&gt;0,3,0)+IF(COUNTIF('Resultats Reals'!$I$2:$I$3,BP48)&gt;0,3,0)</f>
        <v>0</v>
      </c>
      <c r="CB48">
        <f>IF(BQ48='Resultats Reals'!$J$2,5,0)</f>
        <v>0</v>
      </c>
      <c r="CC48">
        <f>IF(BS48='Resultats Reals'!$K$2,5,0)</f>
        <v>0</v>
      </c>
      <c r="CD48">
        <f>IFERROR(VLOOKUP(BT48,'Resultats Reals'!$N$2:$O$100,2,FALSE),0)</f>
        <v>1</v>
      </c>
      <c r="CE48">
        <f>IF(BR48='Resultats Reals'!$L$2,5,0)</f>
        <v>0</v>
      </c>
      <c r="CF48" s="7">
        <f t="shared" si="0"/>
        <v>57.5</v>
      </c>
    </row>
    <row r="49" spans="1:84" x14ac:dyDescent="0.25">
      <c r="A49" t="s">
        <v>139</v>
      </c>
      <c r="B49" t="s">
        <v>140</v>
      </c>
      <c r="C49" t="s">
        <v>86</v>
      </c>
      <c r="D49" t="s">
        <v>99</v>
      </c>
      <c r="E49" t="s">
        <v>88</v>
      </c>
      <c r="F49" t="s">
        <v>112</v>
      </c>
      <c r="G49" t="s">
        <v>90</v>
      </c>
      <c r="H49" t="s">
        <v>91</v>
      </c>
      <c r="I49" t="s">
        <v>92</v>
      </c>
      <c r="J49" t="s">
        <v>93</v>
      </c>
      <c r="K49" t="s">
        <v>94</v>
      </c>
      <c r="L49" t="s">
        <v>95</v>
      </c>
      <c r="M49" t="s">
        <v>108</v>
      </c>
      <c r="N49" t="s">
        <v>109</v>
      </c>
      <c r="O49" t="s">
        <v>110</v>
      </c>
      <c r="P49" t="s">
        <v>87</v>
      </c>
      <c r="Q49" t="s">
        <v>111</v>
      </c>
      <c r="R49" t="s">
        <v>101</v>
      </c>
      <c r="S49" t="s">
        <v>102</v>
      </c>
      <c r="T49" t="s">
        <v>103</v>
      </c>
      <c r="U49" t="s">
        <v>138</v>
      </c>
      <c r="V49" t="s">
        <v>105</v>
      </c>
      <c r="W49" t="s">
        <v>106</v>
      </c>
      <c r="X49" t="s">
        <v>107</v>
      </c>
      <c r="Y49" t="s">
        <v>96</v>
      </c>
      <c r="Z49" t="s">
        <v>97</v>
      </c>
      <c r="AA49" t="s">
        <v>130</v>
      </c>
      <c r="AB49" t="s">
        <v>245</v>
      </c>
      <c r="AC49" t="s">
        <v>100</v>
      </c>
      <c r="AD49" t="s">
        <v>89</v>
      </c>
      <c r="AE49" t="s">
        <v>141</v>
      </c>
      <c r="AF49" t="s">
        <v>131</v>
      </c>
      <c r="AG49" t="s">
        <v>104</v>
      </c>
      <c r="AH49" t="s">
        <v>142</v>
      </c>
      <c r="AI49" t="s">
        <v>117</v>
      </c>
      <c r="AJ49" t="s">
        <v>143</v>
      </c>
      <c r="AK49" t="s">
        <v>119</v>
      </c>
      <c r="AL49" t="s">
        <v>144</v>
      </c>
      <c r="AM49" t="s">
        <v>90</v>
      </c>
      <c r="AN49" t="s">
        <v>94</v>
      </c>
      <c r="AO49" t="s">
        <v>87</v>
      </c>
      <c r="AP49" t="s">
        <v>91</v>
      </c>
      <c r="AQ49" t="s">
        <v>96</v>
      </c>
      <c r="AR49" t="s">
        <v>93</v>
      </c>
      <c r="AS49" t="s">
        <v>112</v>
      </c>
      <c r="AT49" t="s">
        <v>92</v>
      </c>
      <c r="AU49" t="s">
        <v>88</v>
      </c>
      <c r="AV49" t="s">
        <v>102</v>
      </c>
      <c r="AW49" t="s">
        <v>100</v>
      </c>
      <c r="AX49" t="s">
        <v>109</v>
      </c>
      <c r="AY49" t="s">
        <v>95</v>
      </c>
      <c r="AZ49" t="s">
        <v>101</v>
      </c>
      <c r="BA49" t="s">
        <v>99</v>
      </c>
      <c r="BB49" t="s">
        <v>108</v>
      </c>
      <c r="BC49" t="s">
        <v>90</v>
      </c>
      <c r="BD49" t="s">
        <v>91</v>
      </c>
      <c r="BE49" t="s">
        <v>93</v>
      </c>
      <c r="BF49" t="s">
        <v>92</v>
      </c>
      <c r="BG49" t="s">
        <v>88</v>
      </c>
      <c r="BH49" t="s">
        <v>100</v>
      </c>
      <c r="BI49" t="s">
        <v>95</v>
      </c>
      <c r="BJ49" t="s">
        <v>108</v>
      </c>
      <c r="BK49" t="s">
        <v>91</v>
      </c>
      <c r="BL49" t="s">
        <v>93</v>
      </c>
      <c r="BM49" t="s">
        <v>100</v>
      </c>
      <c r="BN49" t="s">
        <v>95</v>
      </c>
      <c r="BO49" t="s">
        <v>93</v>
      </c>
      <c r="BP49" t="s">
        <v>95</v>
      </c>
      <c r="BQ49" t="s">
        <v>95</v>
      </c>
      <c r="BS49" t="s">
        <v>145</v>
      </c>
      <c r="BT49" t="s">
        <v>145</v>
      </c>
      <c r="BU49">
        <f>IF(C49='Resultats Reals'!$C$2,2,IF(OR(C49='Resultats Reals'!$C$3,COUNTIF('Resultats Reals'!$E$2:$E$33,C49)&gt;0),1,0))+IF(D49='Resultats Reals'!$C$5,2,IF(OR(D49='Resultats Reals'!$C$6,COUNTIF('Resultats Reals'!$E$2:$E$33,D49)&gt;0),1,0))+IF(E49='Resultats Reals'!$C$8,2,IF(OR(E49='Resultats Reals'!$C$9,COUNTIF('Resultats Reals'!$E$2:$E$33,E49)&gt;0),1,0))+IF(F49='Resultats Reals'!$C$11,2,IF(OR(F49='Resultats Reals'!$C$12,COUNTIF('Resultats Reals'!$E$2:$E$33,F49)&gt;0),1,0))+IF(G49='Resultats Reals'!$C$14,2,IF(OR(G49='Resultats Reals'!$C$15,COUNTIF('Resultats Reals'!$E$2:$E$33,G49)&gt;0),1,0))+IF(H49='Resultats Reals'!$C$17,2,IF(OR(H49='Resultats Reals'!$C$18,COUNTIF('Resultats Reals'!$E$2:$E$33,H49)&gt;0),1,0))+IF(I49='Resultats Reals'!$C$20,2,IF(OR(I49='Resultats Reals'!$C$21,COUNTIF('Resultats Reals'!$E$2:$E$33,I49)&gt;0),1,0))+IF(J49='Resultats Reals'!$C$23,2,IF(OR(J49='Resultats Reals'!$C$24,COUNTIF('Resultats Reals'!$E$2:$E$33,J49)&gt;0),1,0))+IF(K49='Resultats Reals'!$C$26,2,IF(OR(K49='Resultats Reals'!$C$27,COUNTIF('Resultats Reals'!$E$2:$E$33,K49)&gt;0),1,0))+IF(L49='Resultats Reals'!$C$29,2,IF(OR(L49='Resultats Reals'!$C$30,COUNTIF('Resultats Reals'!$E$2:$E$33,L49)&gt;0),1,0))+IF(M49='Resultats Reals'!$C$32,2,IF(OR(M49='Resultats Reals'!$C$33,COUNTIF('Resultats Reals'!$E$2:$E$33,M49)&gt;0),1,0))+IF(N49='Resultats Reals'!$C$35,2,IF(OR(N49='Resultats Reals'!$C$36,COUNTIF('Resultats Reals'!$E$2:$E$33,N49)&gt;0),1,0))</f>
        <v>21</v>
      </c>
      <c r="BV49">
        <f>IF(O49='Resultats Reals'!$C$3,2,IF(OR(O49='Resultats Reals'!$C$2,COUNTIF('Resultats Reals'!$E$2:$E$33,O49)&gt;0),1,0))+IF(P49='Resultats Reals'!$C$6,2,IF(OR(P49='Resultats Reals'!$C$5,COUNTIF('Resultats Reals'!$E$2:$E$33,P49)&gt;0),1,0))+IF(Q49='Resultats Reals'!$C$9,2,IF(OR(Q49='Resultats Reals'!$C$8,COUNTIF('Resultats Reals'!$E$2:$E$33,Q49)&gt;0),1,0))+IF(R49='Resultats Reals'!$C$12,2,IF(OR(R49='Resultats Reals'!$C$11,COUNTIF('Resultats Reals'!$E$2:$E$33,R49)&gt;0),1,0))+IF(S49='Resultats Reals'!$C$15,2,IF(OR(S49='Resultats Reals'!$C$14,COUNTIF('Resultats Reals'!$E$2:$E$33,S49)&gt;0),1,0))+IF(T49='Resultats Reals'!$C$18,2,IF(OR(T49='Resultats Reals'!$C$17,COUNTIF('Resultats Reals'!$E$2:$E$33,T49)&gt;0),1,0))+IF(U49='Resultats Reals'!$C$21,2,IF(OR(U49='Resultats Reals'!$C$20,COUNTIF('Resultats Reals'!$E$2:$E$33,U49)&gt;0),1,0))+IF(V49='Resultats Reals'!$C$24,2,IF(OR(V49='Resultats Reals'!$C$23,COUNTIF('Resultats Reals'!$E$2:$E$33,V49)&gt;0),1,0))+IF(W49='Resultats Reals'!$C$27,2,IF(OR(W49='Resultats Reals'!$C$26,COUNTIF('Resultats Reals'!$E$2:$E$33,W49)&gt;0),1,0))+IF(X49='Resultats Reals'!$C$30,2,IF(OR(X49='Resultats Reals'!$C$29,COUNTIF('Resultats Reals'!$E$2:$E$33,X49)&gt;0),1,0))+IF(Y49='Resultats Reals'!$C$33,2,IF(OR(Y49='Resultats Reals'!$C$32,COUNTIF('Resultats Reals'!$E$2:$E$33,Y49)&gt;0),1,0))+IF(Z49='Resultats Reals'!$C$36,2,IF(OR(Z49='Resultats Reals'!$C$35,COUNTIF('Resultats Reals'!$E$2:$E$33,Z49)&gt;0),1,0))</f>
        <v>9</v>
      </c>
      <c r="BW49">
        <f>IF(AA49='Resultats Reals'!$C$4,IF(COUNTIF('Resultats Reals'!$E$2:$E$33,AA49)&gt;0,2,0.5),IF(OR(AA49='Resultats Reals'!$C$2,AA49='Resultats Reals'!$C$3,COUNTIF('Resultats Reals'!$E$2:$E$33,AA49)&gt;0),1,0))+IF(AB49='Resultats Reals'!$C$7,IF(COUNTIF('Resultats Reals'!$E$2:$E$33,AB49)&gt;0,2,0.5),IF(OR(AB49='Resultats Reals'!$C$5,AB49='Resultats Reals'!$C$6,COUNTIF('Resultats Reals'!$E$2:$E$33,AB49)&gt;0),1,0))+IF(AC49='Resultats Reals'!$C$10,IF(COUNTIF('Resultats Reals'!$E$2:$E$33,AC49)&gt;0,2,0.5),IF(OR(AC49='Resultats Reals'!$C$8,AC49='Resultats Reals'!$C$9,COUNTIF('Resultats Reals'!$E$2:$E$33,AC49)&gt;0),1,0))+IF(AD49='Resultats Reals'!$C$13,IF(COUNTIF('Resultats Reals'!$E$2:$E$33,AD49)&gt;0,2,0.5),IF(OR(AD49='Resultats Reals'!$C$11,AD49='Resultats Reals'!$C$12,COUNTIF('Resultats Reals'!$E$2:$E$33,AD49)&gt;0),1,0))+IF(AE49='Resultats Reals'!$C$16,IF(COUNTIF('Resultats Reals'!$E$2:$E$33,AE49)&gt;0,2,0.5),IF(OR(AE49='Resultats Reals'!$C$14,AE49='Resultats Reals'!$C$15,COUNTIF('Resultats Reals'!$E$2:$E$33,AE49)&gt;0),1,0))+IF(AF49='Resultats Reals'!$C$19,IF(COUNTIF('Resultats Reals'!$E$2:$E$33,AF49)&gt;0,2,0.5),IF(OR(AF49='Resultats Reals'!$C$17,AF49='Resultats Reals'!$C$18,COUNTIF('Resultats Reals'!$E$2:$E$33,AF49)&gt;0),1,0))+IF(AG49='Resultats Reals'!$C$22,IF(COUNTIF('Resultats Reals'!$E$2:$E$33,AG49)&gt;0,2,0.5),IF(OR(AG49='Resultats Reals'!$C$20,AG49='Resultats Reals'!$C$21,COUNTIF('Resultats Reals'!$E$2:$E$33,AG49)&gt;0),1,0))+IF(AH49='Resultats Reals'!$C$25,IF(COUNTIF('Resultats Reals'!$E$2:$E$33,AH49)&gt;0,2,0.5),IF(OR(AH49='Resultats Reals'!$C$23,AH49='Resultats Reals'!$C$24,COUNTIF('Resultats Reals'!$E$2:$E$33,AH49)&gt;0),1,0))+IF(AI49='Resultats Reals'!$C$28,IF(COUNTIF('Resultats Reals'!$E$2:$E$33,AI49)&gt;0,2,0.5),IF(OR(AI49='Resultats Reals'!$C$26,AI49='Resultats Reals'!$C$27,COUNTIF('Resultats Reals'!$E$2:$E$33,AI49)&gt;0),1,0))+IF(AJ49='Resultats Reals'!$C$31,IF(COUNTIF('Resultats Reals'!$E$2:$E$33,AJ49)&gt;0,2,0.5),IF(OR(AJ49='Resultats Reals'!$C$29,AJ49='Resultats Reals'!$C$30,COUNTIF('Resultats Reals'!$E$2:$E$33,AJ49)&gt;0),1,0))+IF(AK49='Resultats Reals'!$C$34,IF(COUNTIF('Resultats Reals'!$E$2:$E$33,AK49)&gt;0,2,0.5),IF(OR(AK49='Resultats Reals'!$C$32,AK49='Resultats Reals'!$C$33,COUNTIF('Resultats Reals'!$E$2:$E$33,AK49)&gt;0),1,0))+IF(AL49='Resultats Reals'!$C$37,IF(COUNTIF('Resultats Reals'!$E$2:$E$33,AL49)&gt;0,2,0.5),IF(OR(AL49='Resultats Reals'!$C$35,AL49='Resultats Reals'!$C$36,COUNTIF('Resultats Reals'!$E$2:$E$33,AL49)&gt;0),1,0))</f>
        <v>8</v>
      </c>
      <c r="BX49">
        <f>IF(COUNTIF('Resultats Reals'!$F$2:$F$17,AM49)&gt;0,1,0)+IF(COUNTIF('Resultats Reals'!$F$2:$F$17,AN49)&gt;0,1,0)+IF(COUNTIF('Resultats Reals'!$F$2:$F$17,AO49)&gt;0,1,0)+IF(COUNTIF('Resultats Reals'!$F$2:$F$17,AP49)&gt;0,1,0)+IF(COUNTIF('Resultats Reals'!$F$2:$F$17,AQ49)&gt;0,1,0)+IF(COUNTIF('Resultats Reals'!$F$2:$F$17,AR49)&gt;0,1,0)+IF(COUNTIF('Resultats Reals'!$F$2:$F$17,AS49)&gt;0,1,0)+IF(COUNTIF('Resultats Reals'!$F$2:$F$17,AT49)&gt;0,1,0)+IF(COUNTIF('Resultats Reals'!$F$2:$F$17,AU49)&gt;0,1,0)+IF(COUNTIF('Resultats Reals'!$F$2:$F$17,AV49)&gt;0,1,0)+IF(COUNTIF('Resultats Reals'!$F$2:$F$17,AW49)&gt;0,1,0)+IF(COUNTIF('Resultats Reals'!$F$2:$F$17,AX49)&gt;0,1,0)+IF(COUNTIF('Resultats Reals'!$F$2:$F$17,AY49)&gt;0,1,0)+IF(COUNTIF('Resultats Reals'!$F$2:$F$17,AZ49)&gt;0,1,0)+IF(COUNTIF('Resultats Reals'!$F$2:$F$17,BA49)&gt;0,1,0)+IF(COUNTIF('Resultats Reals'!$F$2:$F$17,BB49)&gt;0,1,0)</f>
        <v>11</v>
      </c>
      <c r="BY49">
        <f>IF(COUNTIF('Resultats Reals'!$G$2:$G$9,BC49)&gt;0,1,0)+IF(COUNTIF('Resultats Reals'!$G$2:$G$9,BD49)&gt;0,1,0)+IF(COUNTIF('Resultats Reals'!$G$2:$G$9,BE49)&gt;0,1,0)+IF(COUNTIF('Resultats Reals'!$G$2:$G$9,BF49)&gt;0,1,0)+IF(COUNTIF('Resultats Reals'!$G$2:$G$9,BG49)&gt;0,1,0)+IF(COUNTIF('Resultats Reals'!$G$2:$G$9,BH49)&gt;0,1,0)+IF(COUNTIF('Resultats Reals'!$G$2:$G$9,BI49)&gt;0,1,0)+IF(COUNTIF('Resultats Reals'!$G$2:$G$9,BJ49)&gt;0,1,0)</f>
        <v>4</v>
      </c>
      <c r="BZ49">
        <f>IF(COUNTIF('Resultats Reals'!$H$2:$H$5,BK49)&gt;0,1,0)+IF(COUNTIF('Resultats Reals'!$H$2:$H$5,BL49)&gt;0,1,0)+IF(COUNTIF('Resultats Reals'!$H$2:$H$5,BM49)&gt;0,1,0)+IF(COUNTIF('Resultats Reals'!$H$2:$H$5,BN49)&gt;0,1,0)</f>
        <v>2</v>
      </c>
      <c r="CA49">
        <f>IF(COUNTIF('Resultats Reals'!$I$2:$I$3,BO49)&gt;0,3,0)+IF(COUNTIF('Resultats Reals'!$I$2:$I$3,BP49)&gt;0,3,0)</f>
        <v>0</v>
      </c>
      <c r="CB49">
        <f>IF(BQ49='Resultats Reals'!$J$2,5,0)</f>
        <v>0</v>
      </c>
      <c r="CC49">
        <f>IF(BS49='Resultats Reals'!$K$2,5,0)</f>
        <v>0</v>
      </c>
      <c r="CD49">
        <f>IFERROR(VLOOKUP(BT49,'Resultats Reals'!$N$2:$O$100,2,FALSE),0)</f>
        <v>1</v>
      </c>
      <c r="CE49">
        <f>IF(BR49='Resultats Reals'!$L$2,5,0)</f>
        <v>0</v>
      </c>
      <c r="CF49" s="7">
        <f t="shared" si="0"/>
        <v>56</v>
      </c>
    </row>
  </sheetData>
  <autoFilter ref="A1:CF49" xr:uid="{00000000-0001-0000-01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workbookViewId="0">
      <selection activeCell="B1" sqref="B1"/>
    </sheetView>
  </sheetViews>
  <sheetFormatPr baseColWidth="10" defaultColWidth="10.7109375" defaultRowHeight="15" x14ac:dyDescent="0.25"/>
  <cols>
    <col min="1" max="1" width="23.42578125" bestFit="1" customWidth="1"/>
    <col min="2" max="2" width="8.42578125" bestFit="1" customWidth="1"/>
  </cols>
  <sheetData>
    <row r="1" spans="1:2" x14ac:dyDescent="0.25">
      <c r="A1" s="11" t="s">
        <v>242</v>
      </c>
      <c r="B1" t="s">
        <v>243</v>
      </c>
    </row>
    <row r="2" spans="1:2" x14ac:dyDescent="0.25">
      <c r="A2" s="12" t="s">
        <v>209</v>
      </c>
      <c r="B2">
        <v>64.5</v>
      </c>
    </row>
    <row r="3" spans="1:2" x14ac:dyDescent="0.25">
      <c r="A3" s="12" t="s">
        <v>123</v>
      </c>
      <c r="B3">
        <v>64</v>
      </c>
    </row>
    <row r="4" spans="1:2" x14ac:dyDescent="0.25">
      <c r="A4" s="12" t="s">
        <v>208</v>
      </c>
      <c r="B4">
        <v>63.5</v>
      </c>
    </row>
    <row r="5" spans="1:2" x14ac:dyDescent="0.25">
      <c r="A5" s="12" t="s">
        <v>137</v>
      </c>
      <c r="B5">
        <v>63.5</v>
      </c>
    </row>
    <row r="6" spans="1:2" x14ac:dyDescent="0.25">
      <c r="A6" s="12" t="s">
        <v>188</v>
      </c>
      <c r="B6">
        <v>63.5</v>
      </c>
    </row>
    <row r="7" spans="1:2" x14ac:dyDescent="0.25">
      <c r="A7" s="12" t="s">
        <v>149</v>
      </c>
      <c r="B7">
        <v>63.5</v>
      </c>
    </row>
    <row r="8" spans="1:2" x14ac:dyDescent="0.25">
      <c r="A8" s="12" t="s">
        <v>183</v>
      </c>
      <c r="B8">
        <v>63</v>
      </c>
    </row>
    <row r="9" spans="1:2" x14ac:dyDescent="0.25">
      <c r="A9" s="12" t="s">
        <v>173</v>
      </c>
      <c r="B9">
        <v>62.5</v>
      </c>
    </row>
    <row r="10" spans="1:2" x14ac:dyDescent="0.25">
      <c r="A10" s="12" t="s">
        <v>204</v>
      </c>
      <c r="B10">
        <v>62.5</v>
      </c>
    </row>
    <row r="11" spans="1:2" x14ac:dyDescent="0.25">
      <c r="A11" s="12" t="s">
        <v>168</v>
      </c>
      <c r="B11">
        <v>62.5</v>
      </c>
    </row>
    <row r="12" spans="1:2" x14ac:dyDescent="0.25">
      <c r="A12" s="12" t="s">
        <v>175</v>
      </c>
      <c r="B12">
        <v>62</v>
      </c>
    </row>
    <row r="13" spans="1:2" x14ac:dyDescent="0.25">
      <c r="A13" s="12" t="s">
        <v>207</v>
      </c>
      <c r="B13">
        <v>62</v>
      </c>
    </row>
    <row r="14" spans="1:2" x14ac:dyDescent="0.25">
      <c r="A14" s="12" t="s">
        <v>134</v>
      </c>
      <c r="B14">
        <v>62</v>
      </c>
    </row>
    <row r="15" spans="1:2" x14ac:dyDescent="0.25">
      <c r="A15" s="12" t="s">
        <v>213</v>
      </c>
      <c r="B15">
        <v>61.5</v>
      </c>
    </row>
    <row r="16" spans="1:2" x14ac:dyDescent="0.25">
      <c r="A16" s="12" t="s">
        <v>180</v>
      </c>
      <c r="B16">
        <v>61</v>
      </c>
    </row>
    <row r="17" spans="1:2" x14ac:dyDescent="0.25">
      <c r="A17" s="12" t="s">
        <v>165</v>
      </c>
      <c r="B17">
        <v>61</v>
      </c>
    </row>
    <row r="18" spans="1:2" x14ac:dyDescent="0.25">
      <c r="A18" s="12" t="s">
        <v>191</v>
      </c>
      <c r="B18">
        <v>61</v>
      </c>
    </row>
    <row r="19" spans="1:2" x14ac:dyDescent="0.25">
      <c r="A19" s="12" t="s">
        <v>205</v>
      </c>
      <c r="B19">
        <v>61</v>
      </c>
    </row>
    <row r="20" spans="1:2" x14ac:dyDescent="0.25">
      <c r="A20" s="12" t="s">
        <v>158</v>
      </c>
      <c r="B20">
        <v>60</v>
      </c>
    </row>
    <row r="21" spans="1:2" x14ac:dyDescent="0.25">
      <c r="A21" s="12" t="s">
        <v>195</v>
      </c>
      <c r="B21">
        <v>60</v>
      </c>
    </row>
    <row r="22" spans="1:2" x14ac:dyDescent="0.25">
      <c r="A22" s="12" t="s">
        <v>190</v>
      </c>
      <c r="B22">
        <v>60</v>
      </c>
    </row>
    <row r="23" spans="1:2" x14ac:dyDescent="0.25">
      <c r="A23" s="12" t="s">
        <v>146</v>
      </c>
      <c r="B23">
        <v>59</v>
      </c>
    </row>
    <row r="24" spans="1:2" x14ac:dyDescent="0.25">
      <c r="A24" s="12" t="s">
        <v>184</v>
      </c>
      <c r="B24">
        <v>58.5</v>
      </c>
    </row>
    <row r="25" spans="1:2" x14ac:dyDescent="0.25">
      <c r="A25" s="12" t="s">
        <v>136</v>
      </c>
      <c r="B25">
        <v>58</v>
      </c>
    </row>
    <row r="26" spans="1:2" x14ac:dyDescent="0.25">
      <c r="A26" s="12" t="s">
        <v>177</v>
      </c>
      <c r="B26">
        <v>57.5</v>
      </c>
    </row>
    <row r="27" spans="1:2" x14ac:dyDescent="0.25">
      <c r="A27" s="12" t="s">
        <v>186</v>
      </c>
      <c r="B27">
        <v>57.5</v>
      </c>
    </row>
    <row r="28" spans="1:2" x14ac:dyDescent="0.25">
      <c r="A28" s="12" t="s">
        <v>151</v>
      </c>
      <c r="B28">
        <v>57.5</v>
      </c>
    </row>
    <row r="29" spans="1:2" x14ac:dyDescent="0.25">
      <c r="A29" s="12" t="s">
        <v>178</v>
      </c>
      <c r="B29">
        <v>57.5</v>
      </c>
    </row>
    <row r="30" spans="1:2" x14ac:dyDescent="0.25">
      <c r="A30" s="12" t="s">
        <v>167</v>
      </c>
      <c r="B30">
        <v>57.5</v>
      </c>
    </row>
    <row r="31" spans="1:2" x14ac:dyDescent="0.25">
      <c r="A31" s="12" t="s">
        <v>202</v>
      </c>
      <c r="B31">
        <v>57</v>
      </c>
    </row>
    <row r="32" spans="1:2" x14ac:dyDescent="0.25">
      <c r="A32" s="12" t="s">
        <v>169</v>
      </c>
      <c r="B32">
        <v>57</v>
      </c>
    </row>
    <row r="33" spans="1:2" x14ac:dyDescent="0.25">
      <c r="A33" s="12" t="s">
        <v>201</v>
      </c>
      <c r="B33">
        <v>56</v>
      </c>
    </row>
    <row r="34" spans="1:2" x14ac:dyDescent="0.25">
      <c r="A34" s="12" t="s">
        <v>84</v>
      </c>
      <c r="B34">
        <v>56</v>
      </c>
    </row>
    <row r="35" spans="1:2" x14ac:dyDescent="0.25">
      <c r="A35" s="12" t="s">
        <v>171</v>
      </c>
      <c r="B35">
        <v>56</v>
      </c>
    </row>
    <row r="36" spans="1:2" x14ac:dyDescent="0.25">
      <c r="A36" s="12" t="s">
        <v>152</v>
      </c>
      <c r="B36">
        <v>56</v>
      </c>
    </row>
    <row r="37" spans="1:2" x14ac:dyDescent="0.25">
      <c r="A37" s="12" t="s">
        <v>155</v>
      </c>
      <c r="B37">
        <v>55</v>
      </c>
    </row>
    <row r="38" spans="1:2" x14ac:dyDescent="0.25">
      <c r="A38" s="12" t="s">
        <v>156</v>
      </c>
      <c r="B38">
        <v>54.5</v>
      </c>
    </row>
    <row r="39" spans="1:2" x14ac:dyDescent="0.25">
      <c r="A39" s="12" t="s">
        <v>162</v>
      </c>
      <c r="B39">
        <v>54</v>
      </c>
    </row>
    <row r="40" spans="1:2" x14ac:dyDescent="0.25">
      <c r="A40" s="12" t="s">
        <v>129</v>
      </c>
      <c r="B40">
        <v>54</v>
      </c>
    </row>
    <row r="41" spans="1:2" x14ac:dyDescent="0.25">
      <c r="A41" s="12" t="s">
        <v>192</v>
      </c>
      <c r="B41">
        <v>53.5</v>
      </c>
    </row>
    <row r="42" spans="1:2" x14ac:dyDescent="0.25">
      <c r="A42" s="12" t="s">
        <v>214</v>
      </c>
      <c r="B42">
        <v>53</v>
      </c>
    </row>
    <row r="43" spans="1:2" x14ac:dyDescent="0.25">
      <c r="A43" s="12" t="s">
        <v>181</v>
      </c>
      <c r="B43">
        <v>52.5</v>
      </c>
    </row>
    <row r="44" spans="1:2" x14ac:dyDescent="0.25">
      <c r="A44" s="12" t="s">
        <v>153</v>
      </c>
      <c r="B44">
        <v>52.5</v>
      </c>
    </row>
    <row r="45" spans="1:2" x14ac:dyDescent="0.25">
      <c r="A45" s="12" t="s">
        <v>174</v>
      </c>
      <c r="B45">
        <v>51</v>
      </c>
    </row>
    <row r="46" spans="1:2" x14ac:dyDescent="0.25">
      <c r="A46" s="12" t="s">
        <v>159</v>
      </c>
      <c r="B46">
        <v>51</v>
      </c>
    </row>
    <row r="47" spans="1:2" x14ac:dyDescent="0.25">
      <c r="A47" s="12" t="s">
        <v>212</v>
      </c>
      <c r="B47">
        <v>49.5</v>
      </c>
    </row>
    <row r="48" spans="1:2" x14ac:dyDescent="0.25">
      <c r="A48" s="12" t="s">
        <v>197</v>
      </c>
      <c r="B48">
        <v>49</v>
      </c>
    </row>
    <row r="49" spans="1:2" x14ac:dyDescent="0.25">
      <c r="A49" s="12" t="s">
        <v>139</v>
      </c>
      <c r="B49">
        <v>42</v>
      </c>
    </row>
    <row r="50" spans="1:2" x14ac:dyDescent="0.25">
      <c r="A50" s="12" t="s">
        <v>244</v>
      </c>
      <c r="B50">
        <v>2777</v>
      </c>
    </row>
  </sheetData>
  <autoFilter ref="A1:B49" xr:uid="{00000000-0009-0000-0000-000002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580F6-5A13-42DB-9425-D37D8B9AE6C2}">
  <dimension ref="A1:C62"/>
  <sheetViews>
    <sheetView topLeftCell="A28" workbookViewId="0">
      <selection sqref="A1:A48"/>
    </sheetView>
  </sheetViews>
  <sheetFormatPr baseColWidth="10" defaultColWidth="10.7109375" defaultRowHeight="15" x14ac:dyDescent="0.25"/>
  <cols>
    <col min="1" max="1" width="19.42578125" bestFit="1" customWidth="1"/>
    <col min="2" max="3" width="18.85546875" bestFit="1" customWidth="1"/>
  </cols>
  <sheetData>
    <row r="1" spans="1:3" x14ac:dyDescent="0.25">
      <c r="A1" t="s">
        <v>90</v>
      </c>
      <c r="B1" s="15" t="s">
        <v>246</v>
      </c>
      <c r="C1" s="15" t="s">
        <v>247</v>
      </c>
    </row>
    <row r="2" spans="1:3" x14ac:dyDescent="0.25">
      <c r="A2" t="s">
        <v>118</v>
      </c>
      <c r="B2" s="2" t="str" cm="1">
        <f t="array" ref="B2">IF(SUMPRODUCT(--EXACT('Resultats Reals'!C2,Països_ok!$A$1:$A$47))&gt;0,"OK","Revisar")</f>
        <v>OK</v>
      </c>
      <c r="C2" s="2" t="str" cm="1">
        <f t="array" ref="C2">IF(SUMPRODUCT(--EXACT('Resultats Reals'!E2,'Resultats Reals'!C2:C37))&gt;0,"OK","Revisar")</f>
        <v>OK</v>
      </c>
    </row>
    <row r="3" spans="1:3" x14ac:dyDescent="0.25">
      <c r="A3" t="s">
        <v>97</v>
      </c>
      <c r="B3" s="2" t="str" cm="1">
        <f t="array" ref="B3">IF(SUMPRODUCT(--EXACT('Resultats Reals'!C3,Països_ok!$A$1:$A$47))&gt;0,"OK","Revisar")</f>
        <v>OK</v>
      </c>
      <c r="C3" s="2" t="str" cm="1">
        <f t="array" ref="C3">IF(SUMPRODUCT(--EXACT('Resultats Reals'!E3,Països_ok!$A$1:$A$47))&gt;0,"OK","Revisar")</f>
        <v>OK</v>
      </c>
    </row>
    <row r="4" spans="1:3" x14ac:dyDescent="0.25">
      <c r="A4" t="s">
        <v>116</v>
      </c>
      <c r="B4" s="2" t="str" cm="1">
        <f t="array" ref="B4">IF(SUMPRODUCT(--EXACT('Resultats Reals'!C4,Països_ok!$A$1:$A$47))&gt;0,"OK","Revisar")</f>
        <v>OK</v>
      </c>
      <c r="C4" s="2" t="str" cm="1">
        <f t="array" ref="C4">IF(SUMPRODUCT(--EXACT('Resultats Reals'!E4,Països_ok!$A$1:$A$47))&gt;0,"OK","Revisar")</f>
        <v>OK</v>
      </c>
    </row>
    <row r="5" spans="1:3" x14ac:dyDescent="0.25">
      <c r="A5" t="s">
        <v>95</v>
      </c>
      <c r="B5" s="2" t="str" cm="1">
        <f t="array" ref="B5">IF(SUMPRODUCT(--EXACT('Resultats Reals'!C5,Països_ok!$A$1:$A$47))&gt;0,"OK","Revisar")</f>
        <v>OK</v>
      </c>
      <c r="C5" s="2" t="str" cm="1">
        <f t="array" ref="C5">IF(SUMPRODUCT(--EXACT('Resultats Reals'!E5,Països_ok!$A$1:$A$47))&gt;0,"OK","Revisar")</f>
        <v>OK</v>
      </c>
    </row>
    <row r="6" spans="1:3" x14ac:dyDescent="0.25">
      <c r="A6" t="s">
        <v>126</v>
      </c>
      <c r="B6" s="2" t="str" cm="1">
        <f t="array" ref="B6">IF(SUMPRODUCT(--EXACT('Resultats Reals'!C6,Països_ok!$A$1:$A$47))&gt;0,"OK","Revisar")</f>
        <v>OK</v>
      </c>
      <c r="C6" s="2" t="str" cm="1">
        <f t="array" ref="C6">IF(SUMPRODUCT(--EXACT('Resultats Reals'!E6,Països_ok!$A$1:$A$47))&gt;0,"OK","Revisar")</f>
        <v>OK</v>
      </c>
    </row>
    <row r="7" spans="1:3" x14ac:dyDescent="0.25">
      <c r="A7" t="s">
        <v>107</v>
      </c>
      <c r="B7" s="2" t="str" cm="1">
        <f t="array" ref="B7">IF(SUMPRODUCT(--EXACT('Resultats Reals'!C7,Països_ok!$A$1:$A$47))&gt;0,"OK","Revisar")</f>
        <v>OK</v>
      </c>
      <c r="C7" s="2" t="str" cm="1">
        <f t="array" ref="C7">IF(SUMPRODUCT(--EXACT('Resultats Reals'!E7,Països_ok!$A$1:$A$47))&gt;0,"OK","Revisar")</f>
        <v>OK</v>
      </c>
    </row>
    <row r="8" spans="1:3" x14ac:dyDescent="0.25">
      <c r="A8" t="s">
        <v>92</v>
      </c>
      <c r="B8" s="2" t="str" cm="1">
        <f t="array" ref="B8">IF(SUMPRODUCT(--EXACT('Resultats Reals'!C8,Països_ok!$A$1:$A$47))&gt;0,"OK","Revisar")</f>
        <v>OK</v>
      </c>
      <c r="C8" s="2" t="str" cm="1">
        <f t="array" ref="C8">IF(SUMPRODUCT(--EXACT('Resultats Reals'!E8,Països_ok!$A$1:$A$47))&gt;0,"OK","Revisar")</f>
        <v>OK</v>
      </c>
    </row>
    <row r="9" spans="1:3" x14ac:dyDescent="0.25">
      <c r="A9" t="s">
        <v>245</v>
      </c>
      <c r="B9" s="2" t="str" cm="1">
        <f t="array" ref="B9">IF(SUMPRODUCT(--EXACT('Resultats Reals'!C9,Països_ok!$A$1:$A$47))&gt;0,"OK","Revisar")</f>
        <v>OK</v>
      </c>
      <c r="C9" s="2" t="str" cm="1">
        <f t="array" ref="C9">IF(SUMPRODUCT(--EXACT('Resultats Reals'!E9,Països_ok!$A$1:$A$47))&gt;0,"OK","Revisar")</f>
        <v>OK</v>
      </c>
    </row>
    <row r="10" spans="1:3" x14ac:dyDescent="0.25">
      <c r="A10" t="s">
        <v>88</v>
      </c>
      <c r="B10" s="2" t="str" cm="1">
        <f t="array" ref="B10">IF(SUMPRODUCT(--EXACT('Resultats Reals'!C10,Països_ok!$A$1:$A$47))&gt;0,"OK","Revisar")</f>
        <v>OK</v>
      </c>
      <c r="C10" s="2" t="str" cm="1">
        <f t="array" ref="C10">IF(SUMPRODUCT(--EXACT('Resultats Reals'!E10,Països_ok!$A$1:$A$47))&gt;0,"OK","Revisar")</f>
        <v>OK</v>
      </c>
    </row>
    <row r="11" spans="1:3" x14ac:dyDescent="0.25">
      <c r="A11" t="s">
        <v>99</v>
      </c>
      <c r="B11" s="2" t="str" cm="1">
        <f t="array" ref="B11">IF(SUMPRODUCT(--EXACT('Resultats Reals'!C11,Països_ok!$A$1:$A$47))&gt;0,"OK","Revisar")</f>
        <v>OK</v>
      </c>
      <c r="C11" s="2" t="str" cm="1">
        <f t="array" ref="C11">IF(SUMPRODUCT(--EXACT('Resultats Reals'!E11,Països_ok!$A$1:$A$47))&gt;0,"OK","Revisar")</f>
        <v>OK</v>
      </c>
    </row>
    <row r="12" spans="1:3" x14ac:dyDescent="0.25">
      <c r="A12" t="s">
        <v>142</v>
      </c>
      <c r="B12" s="2" t="str" cm="1">
        <f t="array" ref="B12">IF(SUMPRODUCT(--EXACT('Resultats Reals'!C12,Països_ok!$A$1:$A$47))&gt;0,"OK","Revisar")</f>
        <v>OK</v>
      </c>
      <c r="C12" s="2" t="str" cm="1">
        <f t="array" ref="C12">IF(SUMPRODUCT(--EXACT('Resultats Reals'!E12,Països_ok!$A$1:$A$47))&gt;0,"OK","Revisar")</f>
        <v>OK</v>
      </c>
    </row>
    <row r="13" spans="1:3" x14ac:dyDescent="0.25">
      <c r="A13" t="s">
        <v>108</v>
      </c>
      <c r="B13" s="2" t="str" cm="1">
        <f t="array" ref="B13">IF(SUMPRODUCT(--EXACT('Resultats Reals'!C13,Països_ok!$A$1:$A$47))&gt;0,"OK","Revisar")</f>
        <v>OK</v>
      </c>
      <c r="C13" s="2" t="str" cm="1">
        <f t="array" ref="C13">IF(SUMPRODUCT(--EXACT('Resultats Reals'!E13,Països_ok!$A$1:$A$47))&gt;0,"OK","Revisar")</f>
        <v>OK</v>
      </c>
    </row>
    <row r="14" spans="1:3" x14ac:dyDescent="0.25">
      <c r="A14" t="s">
        <v>98</v>
      </c>
      <c r="B14" s="2" t="str" cm="1">
        <f t="array" ref="B14">IF(SUMPRODUCT(--EXACT('Resultats Reals'!C14,Països_ok!$A$1:$A$47))&gt;0,"OK","Revisar")</f>
        <v>OK</v>
      </c>
      <c r="C14" s="2" t="str" cm="1">
        <f t="array" ref="C14">IF(SUMPRODUCT(--EXACT('Resultats Reals'!E14,Països_ok!$A$1:$A$47))&gt;0,"OK","Revisar")</f>
        <v>OK</v>
      </c>
    </row>
    <row r="15" spans="1:3" x14ac:dyDescent="0.25">
      <c r="A15" t="s">
        <v>113</v>
      </c>
      <c r="B15" s="2" t="str" cm="1">
        <f t="array" ref="B15">IF(SUMPRODUCT(--EXACT('Resultats Reals'!C15,Països_ok!$A$1:$A$47))&gt;0,"OK","Revisar")</f>
        <v>OK</v>
      </c>
      <c r="C15" s="2" t="str" cm="1">
        <f t="array" ref="C15">IF(SUMPRODUCT(--EXACT('Resultats Reals'!E15,Països_ok!$A$1:$A$47))&gt;0,"OK","Revisar")</f>
        <v>OK</v>
      </c>
    </row>
    <row r="16" spans="1:3" x14ac:dyDescent="0.25">
      <c r="A16" t="s">
        <v>109</v>
      </c>
      <c r="B16" s="2" t="str" cm="1">
        <f t="array" ref="B16">IF(SUMPRODUCT(--EXACT('Resultats Reals'!C16,Països_ok!$A$1:$A$47))&gt;0,"OK","Revisar")</f>
        <v>OK</v>
      </c>
      <c r="C16" s="2" t="str" cm="1">
        <f t="array" ref="C16">IF(SUMPRODUCT(--EXACT('Resultats Reals'!E16,Països_ok!$A$1:$A$47))&gt;0,"OK","Revisar")</f>
        <v>OK</v>
      </c>
    </row>
    <row r="17" spans="1:3" x14ac:dyDescent="0.25">
      <c r="A17" t="s">
        <v>141</v>
      </c>
      <c r="B17" s="2" t="str" cm="1">
        <f t="array" ref="B17">IF(SUMPRODUCT(--EXACT('Resultats Reals'!C17,Països_ok!$A$1:$A$47))&gt;0,"OK","Revisar")</f>
        <v>OK</v>
      </c>
      <c r="C17" s="2" t="str" cm="1">
        <f t="array" ref="C17">IF(SUMPRODUCT(--EXACT('Resultats Reals'!E17,Països_ok!$A$1:$A$47))&gt;0,"OK","Revisar")</f>
        <v>OK</v>
      </c>
    </row>
    <row r="18" spans="1:3" x14ac:dyDescent="0.25">
      <c r="A18" t="s">
        <v>104</v>
      </c>
      <c r="B18" s="2" t="str" cm="1">
        <f t="array" ref="B18">IF(SUMPRODUCT(--EXACT('Resultats Reals'!C18,Països_ok!$A$1:$A$47))&gt;0,"OK","Revisar")</f>
        <v>OK</v>
      </c>
      <c r="C18" s="2" t="str" cm="1">
        <f t="array" ref="C18">IF(SUMPRODUCT(--EXACT('Resultats Reals'!E18,Països_ok!$A$1:$A$47))&gt;0,"OK","Revisar")</f>
        <v>OK</v>
      </c>
    </row>
    <row r="19" spans="1:3" x14ac:dyDescent="0.25">
      <c r="A19" t="s">
        <v>102</v>
      </c>
      <c r="B19" s="2" t="str" cm="1">
        <f t="array" ref="B19">IF(SUMPRODUCT(--EXACT('Resultats Reals'!C19,Països_ok!$A$1:$A$47))&gt;0,"OK","Revisar")</f>
        <v>OK</v>
      </c>
      <c r="C19" s="2" t="str" cm="1">
        <f t="array" ref="C19">IF(SUMPRODUCT(--EXACT('Resultats Reals'!E19,Països_ok!$A$1:$A$47))&gt;0,"OK","Revisar")</f>
        <v>OK</v>
      </c>
    </row>
    <row r="20" spans="1:3" x14ac:dyDescent="0.25">
      <c r="A20" t="s">
        <v>111</v>
      </c>
      <c r="B20" s="2" t="str" cm="1">
        <f t="array" ref="B20">IF(SUMPRODUCT(--EXACT('Resultats Reals'!C20,Països_ok!$A$1:$A$47))&gt;0,"OK","Revisar")</f>
        <v>OK</v>
      </c>
      <c r="C20" s="2" t="str" cm="1">
        <f t="array" ref="C20">IF(SUMPRODUCT(--EXACT('Resultats Reals'!E20,Països_ok!$A$1:$A$47))&gt;0,"OK","Revisar")</f>
        <v>OK</v>
      </c>
    </row>
    <row r="21" spans="1:3" x14ac:dyDescent="0.25">
      <c r="A21" t="s">
        <v>93</v>
      </c>
      <c r="B21" s="2" t="str" cm="1">
        <f t="array" ref="B21">IF(SUMPRODUCT(--EXACT('Resultats Reals'!C21,Països_ok!$A$1:$A$47))&gt;0,"OK","Revisar")</f>
        <v>OK</v>
      </c>
      <c r="C21" s="2" t="str" cm="1">
        <f t="array" ref="C21">IF(SUMPRODUCT(--EXACT('Resultats Reals'!E21,Països_ok!$A$1:$A$47))&gt;0,"OK","Revisar")</f>
        <v>OK</v>
      </c>
    </row>
    <row r="22" spans="1:3" x14ac:dyDescent="0.25">
      <c r="A22" t="s">
        <v>89</v>
      </c>
      <c r="B22" s="2" t="str" cm="1">
        <f t="array" ref="B22">IF(SUMPRODUCT(--EXACT('Resultats Reals'!C22,Països_ok!$A$1:$A$47))&gt;0,"OK","Revisar")</f>
        <v>OK</v>
      </c>
      <c r="C22" s="2" t="str" cm="1">
        <f t="array" ref="C22">IF(SUMPRODUCT(--EXACT('Resultats Reals'!E22,Països_ok!$A$1:$A$47))&gt;0,"OK","Revisar")</f>
        <v>OK</v>
      </c>
    </row>
    <row r="23" spans="1:3" x14ac:dyDescent="0.25">
      <c r="A23" t="s">
        <v>94</v>
      </c>
      <c r="B23" s="2" t="str" cm="1">
        <f t="array" ref="B23">IF(SUMPRODUCT(--EXACT('Resultats Reals'!C23,Països_ok!$A$1:$A$47))&gt;0,"OK","Revisar")</f>
        <v>OK</v>
      </c>
      <c r="C23" s="2" t="str" cm="1">
        <f t="array" ref="C23">IF(SUMPRODUCT(--EXACT('Resultats Reals'!E23,Països_ok!$A$1:$A$47))&gt;0,"OK","Revisar")</f>
        <v>OK</v>
      </c>
    </row>
    <row r="24" spans="1:3" x14ac:dyDescent="0.25">
      <c r="A24" t="s">
        <v>120</v>
      </c>
      <c r="B24" s="2" t="str" cm="1">
        <f t="array" ref="B24">IF(SUMPRODUCT(--EXACT('Resultats Reals'!C24,Països_ok!$A$1:$A$47))&gt;0,"OK","Revisar")</f>
        <v>OK</v>
      </c>
      <c r="C24" s="2" t="str" cm="1">
        <f t="array" ref="C24">IF(SUMPRODUCT(--EXACT('Resultats Reals'!E24,Països_ok!$A$1:$A$47))&gt;0,"OK","Revisar")</f>
        <v>OK</v>
      </c>
    </row>
    <row r="25" spans="1:3" x14ac:dyDescent="0.25">
      <c r="A25" t="s">
        <v>170</v>
      </c>
      <c r="B25" s="2" t="str" cm="1">
        <f t="array" ref="B25">IF(SUMPRODUCT(--EXACT('Resultats Reals'!C25,Països_ok!$A$1:$A$47))&gt;0,"OK","Revisar")</f>
        <v>OK</v>
      </c>
      <c r="C25" s="2" t="str" cm="1">
        <f t="array" ref="C25">IF(SUMPRODUCT(--EXACT('Resultats Reals'!E25,Països_ok!$A$1:$A$47))&gt;0,"OK","Revisar")</f>
        <v>OK</v>
      </c>
    </row>
    <row r="26" spans="1:3" x14ac:dyDescent="0.25">
      <c r="A26" t="s">
        <v>115</v>
      </c>
      <c r="B26" s="2" t="str" cm="1">
        <f t="array" ref="B26">IF(SUMPRODUCT(--EXACT('Resultats Reals'!C26,Països_ok!$A$1:$A$47))&gt;0,"OK","Revisar")</f>
        <v>OK</v>
      </c>
      <c r="C26" s="2" t="str" cm="1">
        <f t="array" ref="C26">IF(SUMPRODUCT(--EXACT('Resultats Reals'!E26,Països_ok!$A$1:$A$47))&gt;0,"OK","Revisar")</f>
        <v>OK</v>
      </c>
    </row>
    <row r="27" spans="1:3" x14ac:dyDescent="0.25">
      <c r="A27" t="s">
        <v>114</v>
      </c>
      <c r="B27" s="2" t="str" cm="1">
        <f t="array" ref="B27">IF(SUMPRODUCT(--EXACT('Resultats Reals'!C27,Països_ok!$A$1:$A$47))&gt;0,"OK","Revisar")</f>
        <v>OK</v>
      </c>
      <c r="C27" s="2" t="str" cm="1">
        <f t="array" ref="C27">IF(SUMPRODUCT(--EXACT('Resultats Reals'!E27,Països_ok!$A$1:$A$47))&gt;0,"OK","Revisar")</f>
        <v>OK</v>
      </c>
    </row>
    <row r="28" spans="1:3" x14ac:dyDescent="0.25">
      <c r="A28" t="s">
        <v>143</v>
      </c>
      <c r="B28" s="2" t="str" cm="1">
        <f t="array" ref="B28">IF(SUMPRODUCT(--EXACT('Resultats Reals'!C28,Països_ok!$A$1:$A$47))&gt;0,"OK","Revisar")</f>
        <v>OK</v>
      </c>
      <c r="C28" s="2" t="str" cm="1">
        <f t="array" ref="C28">IF(SUMPRODUCT(--EXACT('Resultats Reals'!E28,Països_ok!$A$1:$A$47))&gt;0,"OK","Revisar")</f>
        <v>OK</v>
      </c>
    </row>
    <row r="29" spans="1:3" x14ac:dyDescent="0.25">
      <c r="A29" t="s">
        <v>100</v>
      </c>
      <c r="B29" s="2" t="str" cm="1">
        <f t="array" ref="B29">IF(SUMPRODUCT(--EXACT('Resultats Reals'!C29,Països_ok!$A$1:$A$47))&gt;0,"OK","Revisar")</f>
        <v>OK</v>
      </c>
      <c r="C29" s="2" t="str" cm="1">
        <f t="array" ref="C29">IF(SUMPRODUCT(--EXACT('Resultats Reals'!E29,Països_ok!$A$1:$A$47))&gt;0,"OK","Revisar")</f>
        <v>OK</v>
      </c>
    </row>
    <row r="30" spans="1:3" x14ac:dyDescent="0.25">
      <c r="A30" t="s">
        <v>86</v>
      </c>
      <c r="B30" s="2" t="str" cm="1">
        <f t="array" ref="B30">IF(SUMPRODUCT(--EXACT('Resultats Reals'!C30,Països_ok!$A$1:$A$47))&gt;0,"OK","Revisar")</f>
        <v>OK</v>
      </c>
      <c r="C30" s="2" t="str" cm="1">
        <f t="array" ref="C30">IF(SUMPRODUCT(--EXACT('Resultats Reals'!E30,Països_ok!$A$1:$A$47))&gt;0,"OK","Revisar")</f>
        <v>OK</v>
      </c>
    </row>
    <row r="31" spans="1:3" x14ac:dyDescent="0.25">
      <c r="A31" t="s">
        <v>117</v>
      </c>
      <c r="B31" s="2" t="str" cm="1">
        <f t="array" ref="B31">IF(SUMPRODUCT(--EXACT('Resultats Reals'!C31,Països_ok!$A$1:$A$47))&gt;0,"OK","Revisar")</f>
        <v>OK</v>
      </c>
      <c r="C31" s="2" t="str" cm="1">
        <f t="array" ref="C31">IF(SUMPRODUCT(--EXACT('Resultats Reals'!E31,Països_ok!$A$1:$A$47))&gt;0,"OK","Revisar")</f>
        <v>OK</v>
      </c>
    </row>
    <row r="32" spans="1:3" x14ac:dyDescent="0.25">
      <c r="A32" t="s">
        <v>138</v>
      </c>
      <c r="B32" s="2" t="str" cm="1">
        <f t="array" ref="B32">IF(SUMPRODUCT(--EXACT('Resultats Reals'!C32,Països_ok!$A$1:$A$47))&gt;0,"OK","Revisar")</f>
        <v>OK</v>
      </c>
      <c r="C32" s="2" t="str" cm="1">
        <f t="array" ref="C32">IF(SUMPRODUCT(--EXACT('Resultats Reals'!E32,Països_ok!$A$1:$A$47))&gt;0,"OK","Revisar")</f>
        <v>OK</v>
      </c>
    </row>
    <row r="33" spans="1:3" x14ac:dyDescent="0.25">
      <c r="A33" t="s">
        <v>144</v>
      </c>
      <c r="B33" s="2" t="str" cm="1">
        <f t="array" ref="B33">IF(SUMPRODUCT(--EXACT('Resultats Reals'!C33,Països_ok!$A$1:$A$47))&gt;0,"OK","Revisar")</f>
        <v>OK</v>
      </c>
      <c r="C33" s="2" t="str" cm="1">
        <f t="array" ref="C33">IF(SUMPRODUCT(--EXACT('Resultats Reals'!E33,Països_ok!$A$1:$A$47))&gt;0,"OK","Revisar")</f>
        <v>OK</v>
      </c>
    </row>
    <row r="34" spans="1:3" x14ac:dyDescent="0.25">
      <c r="A34" t="s">
        <v>91</v>
      </c>
      <c r="B34" s="2" t="str" cm="1">
        <f t="array" ref="B34">IF(SUMPRODUCT(--EXACT('Resultats Reals'!C34,Països_ok!$A$1:$A$47))&gt;0,"OK","Revisar")</f>
        <v>OK</v>
      </c>
      <c r="C34" s="2"/>
    </row>
    <row r="35" spans="1:3" x14ac:dyDescent="0.25">
      <c r="A35" t="s">
        <v>112</v>
      </c>
      <c r="B35" s="2" t="str" cm="1">
        <f t="array" ref="B35">IF(SUMPRODUCT(--EXACT('Resultats Reals'!C35,Països_ok!$A$1:$A$47))&gt;0,"OK","Revisar")</f>
        <v>OK</v>
      </c>
      <c r="C35" s="2"/>
    </row>
    <row r="36" spans="1:3" x14ac:dyDescent="0.25">
      <c r="A36" t="s">
        <v>96</v>
      </c>
      <c r="B36" s="2" t="str" cm="1">
        <f t="array" ref="B36">IF(SUMPRODUCT(--EXACT('Resultats Reals'!C36,Països_ok!$A$1:$A$47))&gt;0,"OK","Revisar")</f>
        <v>OK</v>
      </c>
      <c r="C36" s="2"/>
    </row>
    <row r="37" spans="1:3" x14ac:dyDescent="0.25">
      <c r="A37" t="s">
        <v>125</v>
      </c>
      <c r="B37" s="2" t="str" cm="1">
        <f t="array" ref="B37">IF(SUMPRODUCT(--EXACT('Resultats Reals'!C37,Països_ok!$A$1:$A$47))&gt;0,"OK","Revisar")</f>
        <v>OK</v>
      </c>
      <c r="C37" s="2"/>
    </row>
    <row r="38" spans="1:3" x14ac:dyDescent="0.25">
      <c r="A38" t="s">
        <v>127</v>
      </c>
      <c r="B38" s="2"/>
    </row>
    <row r="39" spans="1:3" x14ac:dyDescent="0.25">
      <c r="A39" t="s">
        <v>110</v>
      </c>
    </row>
    <row r="40" spans="1:3" x14ac:dyDescent="0.25">
      <c r="A40" t="s">
        <v>106</v>
      </c>
    </row>
    <row r="41" spans="1:3" x14ac:dyDescent="0.25">
      <c r="A41" t="s">
        <v>130</v>
      </c>
    </row>
    <row r="42" spans="1:3" x14ac:dyDescent="0.25">
      <c r="A42" t="s">
        <v>103</v>
      </c>
    </row>
    <row r="43" spans="1:3" x14ac:dyDescent="0.25">
      <c r="A43" t="s">
        <v>87</v>
      </c>
    </row>
    <row r="44" spans="1:3" x14ac:dyDescent="0.25">
      <c r="A44" t="s">
        <v>131</v>
      </c>
    </row>
    <row r="45" spans="1:3" x14ac:dyDescent="0.25">
      <c r="A45" t="s">
        <v>101</v>
      </c>
    </row>
    <row r="46" spans="1:3" x14ac:dyDescent="0.25">
      <c r="A46" t="s">
        <v>105</v>
      </c>
    </row>
    <row r="47" spans="1:3" x14ac:dyDescent="0.25">
      <c r="A47" t="s">
        <v>119</v>
      </c>
    </row>
    <row r="51" spans="1:1" x14ac:dyDescent="0.25">
      <c r="A51" t="str">
        <f>+'Resultats Reals'!C4</f>
        <v>Corea del Sud</v>
      </c>
    </row>
    <row r="52" spans="1:1" x14ac:dyDescent="0.25">
      <c r="A52" t="str">
        <f>+'Resultats Reals'!C7</f>
        <v>Bòsnia i Hercegovina</v>
      </c>
    </row>
    <row r="53" spans="1:1" x14ac:dyDescent="0.25">
      <c r="A53" t="str">
        <f>+'Resultats Reals'!C10</f>
        <v>Escòcia</v>
      </c>
    </row>
    <row r="54" spans="1:1" x14ac:dyDescent="0.25">
      <c r="A54" t="str">
        <f>+'Resultats Reals'!C13</f>
        <v>Paraguai</v>
      </c>
    </row>
    <row r="55" spans="1:1" x14ac:dyDescent="0.25">
      <c r="A55" t="str">
        <f>+'Resultats Reals'!C16</f>
        <v>Equador</v>
      </c>
    </row>
    <row r="56" spans="1:1" x14ac:dyDescent="0.25">
      <c r="A56" t="str">
        <f>+'Resultats Reals'!C19</f>
        <v>Suècia</v>
      </c>
    </row>
    <row r="57" spans="1:1" x14ac:dyDescent="0.25">
      <c r="A57" t="str">
        <f>+'Resultats Reals'!C22</f>
        <v>Iran</v>
      </c>
    </row>
    <row r="58" spans="1:1" x14ac:dyDescent="0.25">
      <c r="A58" t="str">
        <f>+'Resultats Reals'!C25</f>
        <v>Uruguai</v>
      </c>
    </row>
    <row r="59" spans="1:1" x14ac:dyDescent="0.25">
      <c r="A59" t="str">
        <f>+'Resultats Reals'!C28</f>
        <v>Senegal</v>
      </c>
    </row>
    <row r="60" spans="1:1" x14ac:dyDescent="0.25">
      <c r="A60" t="str">
        <f>+'Resultats Reals'!C31</f>
        <v>Algèria</v>
      </c>
    </row>
    <row r="61" spans="1:1" x14ac:dyDescent="0.25">
      <c r="A61" t="str">
        <f>+'Resultats Reals'!C34</f>
        <v>RD Congo</v>
      </c>
    </row>
    <row r="62" spans="1:1" x14ac:dyDescent="0.25">
      <c r="A62" t="str">
        <f>+'Resultats Reals'!C37</f>
        <v>Ghana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Resultats Reals</vt:lpstr>
      <vt:lpstr>Calendari</vt:lpstr>
      <vt:lpstr>Porra</vt:lpstr>
      <vt:lpstr>Gràfics</vt:lpstr>
      <vt:lpstr>Països_ok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Llopis</cp:lastModifiedBy>
  <dcterms:created xsi:type="dcterms:W3CDTF">2026-06-15T11:33:22Z</dcterms:created>
  <dcterms:modified xsi:type="dcterms:W3CDTF">2026-07-14T06:27:57Z</dcterms:modified>
</cp:coreProperties>
</file>