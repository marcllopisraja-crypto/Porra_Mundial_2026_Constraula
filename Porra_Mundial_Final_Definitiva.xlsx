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16" documentId="11_77D7F8CFEFB5B4E2EEC1568F97B647076E5C66F0" xr6:coauthVersionLast="47" xr6:coauthVersionMax="47" xr10:uidLastSave="{78033454-2E61-1144-BD24-1A9E8C3F23E9}"/>
  <bookViews>
    <workbookView xWindow="28680" yWindow="-120" windowWidth="29040" windowHeight="15720" activeTab="1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  <definedName name="_xlnm._FilterDatabase" localSheetId="1" hidden="1">Porra!$A$1:$CF$49</definedName>
  </definedNames>
  <calcPr calcId="191028"/>
  <pivotCaches>
    <pivotCache cacheId="9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CF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CF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CF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CF21" i="2"/>
  <c r="BW45" i="2"/>
  <c r="BU12" i="2"/>
  <c r="BV47" i="2"/>
  <c r="BW10" i="2"/>
  <c r="BU4" i="2"/>
  <c r="BW40" i="2"/>
  <c r="BU13" i="2"/>
  <c r="BV37" i="2"/>
  <c r="BW44" i="2"/>
  <c r="CF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8" i="2"/>
  <c r="CF15" i="2"/>
  <c r="CF9" i="2"/>
  <c r="CF8" i="2"/>
  <c r="CF43" i="2"/>
  <c r="CF16" i="2"/>
  <c r="CF35" i="2"/>
  <c r="CF41" i="2"/>
  <c r="CF36" i="2"/>
  <c r="CF20" i="2"/>
  <c r="CF14" i="2"/>
  <c r="CF31" i="2"/>
  <c r="CF40" i="2"/>
  <c r="CF49" i="2"/>
  <c r="CF19" i="2"/>
  <c r="CF48" i="2"/>
  <c r="CF10" i="2"/>
  <c r="CF2" i="2"/>
  <c r="CF11" i="2"/>
  <c r="CF46" i="2"/>
  <c r="CF45" i="2"/>
  <c r="CF38" i="2"/>
  <c r="CF39" i="2"/>
  <c r="CF3" i="2"/>
  <c r="CF6" i="2"/>
  <c r="CF23" i="2"/>
  <c r="CF29" i="2"/>
  <c r="CF34" i="2"/>
  <c r="CF27" i="2"/>
  <c r="CF42" i="2"/>
  <c r="CF47" i="2"/>
  <c r="CF37" i="2"/>
  <c r="CF24" i="2"/>
  <c r="CF13" i="2"/>
  <c r="CF26" i="2"/>
  <c r="CF4" i="2"/>
  <c r="C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<sst xmlns="http://schemas.openxmlformats.org/spreadsheetml/2006/main" count="3780" uniqueCount="249">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</sst>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eetMetadata" Target="metadata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L1" workbookViewId="0">
      <selection activeCell="E33" sqref="E3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4.5273437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" t="s">
        <v>227</v>
      </c>
      <c r="B4" s="2" t="s">
        <v>231</v>
      </c>
      <c r="C4" s="17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">
      <c r="A7" s="2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143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103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119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7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57.5</v>
      </c>
    </row>
    <row r="3" spans="1:84" x14ac:dyDescent="0.2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19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57</v>
      </c>
    </row>
    <row r="4" spans="1:84" x14ac:dyDescent="0.2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19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12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56</v>
      </c>
    </row>
    <row r="5" spans="1:84" x14ac:dyDescent="0.2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18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55</v>
      </c>
    </row>
    <row r="6" spans="1:84" x14ac:dyDescent="0.2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13.5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54.5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12.5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53.5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21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12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53</v>
      </c>
    </row>
    <row r="9" spans="1:84" x14ac:dyDescent="0.2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16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>SUM(BU9:CE9)</f>
        <v>53</v>
      </c>
    </row>
    <row r="10" spans="1:84" x14ac:dyDescent="0.2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12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53</v>
      </c>
    </row>
    <row r="11" spans="1:84" x14ac:dyDescent="0.2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>SUM(BU11:CE11)</f>
        <v>52.5</v>
      </c>
    </row>
    <row r="12" spans="1:84" x14ac:dyDescent="0.2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21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12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52</v>
      </c>
    </row>
    <row r="13" spans="1:84" x14ac:dyDescent="0.2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20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18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13.5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>SUM(BU13:CE13)</f>
        <v>51.5</v>
      </c>
    </row>
    <row r="14" spans="1:84" x14ac:dyDescent="0.2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19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51</v>
      </c>
    </row>
    <row r="15" spans="1:84" x14ac:dyDescent="0.2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51</v>
      </c>
    </row>
    <row r="16" spans="1:84" x14ac:dyDescent="0.2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11.5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>SUM(BU16:CE16)</f>
        <v>50.5</v>
      </c>
    </row>
    <row r="17" spans="1:84" x14ac:dyDescent="0.2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15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12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>SUM(BU17:CE17)</f>
        <v>50</v>
      </c>
    </row>
    <row r="18" spans="1:84" x14ac:dyDescent="0.2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18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>SUM(BU18:CE18)</f>
        <v>50</v>
      </c>
    </row>
    <row r="19" spans="1:84" x14ac:dyDescent="0.2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19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>SUM(BU19:CE19)</f>
        <v>50</v>
      </c>
    </row>
    <row r="20" spans="1:84" x14ac:dyDescent="0.2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14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>SUM(BU20:CE20)</f>
        <v>50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21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49</v>
      </c>
    </row>
    <row r="22" spans="1:84" x14ac:dyDescent="0.2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22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11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>SUM(BU22:CE22)</f>
        <v>49</v>
      </c>
    </row>
    <row r="23" spans="1:84" x14ac:dyDescent="0.2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>SUM(BU23:CE23)</f>
        <v>49</v>
      </c>
    </row>
    <row r="24" spans="1:84" x14ac:dyDescent="0.2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19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>SUM(BU24:CE24)</f>
        <v>49</v>
      </c>
    </row>
    <row r="25" spans="1:84" x14ac:dyDescent="0.2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16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13.5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>SUM(BU25:CE25)</f>
        <v>48.5</v>
      </c>
    </row>
    <row r="26" spans="1:84" x14ac:dyDescent="0.2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12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48.5</v>
      </c>
    </row>
    <row r="27" spans="1:84" x14ac:dyDescent="0.2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21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14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48</v>
      </c>
    </row>
    <row r="28" spans="1:84" x14ac:dyDescent="0.2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20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>SUM(BU28:CE28)</f>
        <v>48</v>
      </c>
    </row>
    <row r="29" spans="1:84" x14ac:dyDescent="0.2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14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10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>SUM(BU29:CE29)</f>
        <v>48</v>
      </c>
    </row>
    <row r="30" spans="1:84" x14ac:dyDescent="0.2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8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>SUM(BU30:CE30)</f>
        <v>48</v>
      </c>
    </row>
    <row r="31" spans="1:84" x14ac:dyDescent="0.2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17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>SUM(BU31:CE31)</f>
        <v>48</v>
      </c>
    </row>
    <row r="32" spans="1:84" x14ac:dyDescent="0.2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12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>SUM(BU32:CE32)</f>
        <v>48</v>
      </c>
    </row>
    <row r="33" spans="1:84" x14ac:dyDescent="0.2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18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>SUM(BU33:CE33)</f>
        <v>48</v>
      </c>
    </row>
    <row r="34" spans="1:84" x14ac:dyDescent="0.2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18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47.5</v>
      </c>
    </row>
    <row r="35" spans="1:84" x14ac:dyDescent="0.2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19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7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47</v>
      </c>
    </row>
    <row r="36" spans="1:84" x14ac:dyDescent="0.2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12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47</v>
      </c>
    </row>
    <row r="37" spans="1:84" x14ac:dyDescent="0.2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13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47</v>
      </c>
    </row>
    <row r="38" spans="1:84" x14ac:dyDescent="0.2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21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9.5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46.5</v>
      </c>
    </row>
    <row r="39" spans="1:84" x14ac:dyDescent="0.2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20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>SUM(BU39:CE39)</f>
        <v>46</v>
      </c>
    </row>
    <row r="40" spans="1:84" x14ac:dyDescent="0.2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>SUM(BU40:CE40)</f>
        <v>45.5</v>
      </c>
    </row>
    <row r="41" spans="1:84" x14ac:dyDescent="0.2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20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11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10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45</v>
      </c>
    </row>
    <row r="42" spans="1:84" x14ac:dyDescent="0.2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19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14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8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>SUM(BU42:CE42)</f>
        <v>45</v>
      </c>
    </row>
    <row r="43" spans="1:84" x14ac:dyDescent="0.2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44</v>
      </c>
    </row>
    <row r="44" spans="1:84" x14ac:dyDescent="0.2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44</v>
      </c>
    </row>
    <row r="45" spans="1:84" x14ac:dyDescent="0.2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>SUM(BU45:CE45)</f>
        <v>44</v>
      </c>
    </row>
    <row r="46" spans="1:84" x14ac:dyDescent="0.2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18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44</v>
      </c>
    </row>
    <row r="47" spans="1:84" x14ac:dyDescent="0.2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18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>SUM(BU47:CE47)</f>
        <v>44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18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12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42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12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39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